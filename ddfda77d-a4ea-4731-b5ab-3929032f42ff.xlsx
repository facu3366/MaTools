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667fcbc27a88bd9/Pancho Main/Cursor/Fran-Facu Proyecto/"/>
    </mc:Choice>
  </mc:AlternateContent>
  <xr:revisionPtr revIDLastSave="0" documentId="8_{97C6BF87-9D5E-4D93-A255-7D6033CD41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ustry Universe" sheetId="1" r:id="rId1"/>
    <sheet name="Comparable Compan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T17" i="1"/>
  <c r="S17" i="1"/>
  <c r="R17" i="1"/>
  <c r="Q17" i="1"/>
  <c r="O17" i="1"/>
  <c r="N17" i="1"/>
  <c r="M17" i="1"/>
  <c r="L17" i="1"/>
  <c r="I17" i="1"/>
  <c r="H17" i="1"/>
  <c r="G17" i="1"/>
  <c r="U16" i="1"/>
  <c r="T16" i="1"/>
  <c r="S16" i="1"/>
  <c r="R16" i="1"/>
  <c r="Q16" i="1"/>
  <c r="O16" i="1"/>
  <c r="N16" i="1"/>
  <c r="M16" i="1"/>
  <c r="L16" i="1"/>
  <c r="I16" i="1"/>
  <c r="H16" i="1"/>
  <c r="G16" i="1"/>
  <c r="B24" i="2"/>
  <c r="U20" i="2"/>
  <c r="T20" i="2"/>
  <c r="S20" i="2"/>
  <c r="R20" i="2"/>
  <c r="Q20" i="2"/>
  <c r="O20" i="2"/>
  <c r="N20" i="2"/>
  <c r="M20" i="2"/>
  <c r="L20" i="2"/>
  <c r="I20" i="2"/>
  <c r="H20" i="2"/>
  <c r="G20" i="2"/>
  <c r="U19" i="2"/>
  <c r="T19" i="2"/>
  <c r="B25" i="2" s="1"/>
  <c r="S19" i="2"/>
  <c r="R19" i="2"/>
  <c r="Q19" i="2"/>
  <c r="B26" i="2" s="1"/>
  <c r="O19" i="2"/>
  <c r="N19" i="2"/>
  <c r="M19" i="2"/>
  <c r="L19" i="2"/>
  <c r="I19" i="2"/>
  <c r="H19" i="2"/>
  <c r="G19" i="2"/>
</calcChain>
</file>

<file path=xl/sharedStrings.xml><?xml version="1.0" encoding="utf-8"?>
<sst xmlns="http://schemas.openxmlformats.org/spreadsheetml/2006/main" count="172" uniqueCount="68">
  <si>
    <t>PARÁMETROS DEL DEAL</t>
  </si>
  <si>
    <t>Revenue Target ($mm)</t>
  </si>
  <si>
    <t>Rango mínimo (%)</t>
  </si>
  <si>
    <t>Rango máximo (%)</t>
  </si>
  <si>
    <t>Comparable Companies — MELI | 9 comps filtradas</t>
  </si>
  <si>
    <t>Fecha: 23/03/2026  |  Fuente: Yahoo Finance (TTM)  |  DealDesk</t>
  </si>
  <si>
    <t>Ticker</t>
  </si>
  <si>
    <t>Empresa</t>
  </si>
  <si>
    <t>País</t>
  </si>
  <si>
    <t>Sector</t>
  </si>
  <si>
    <t>Industria</t>
  </si>
  <si>
    <t>Descripción</t>
  </si>
  <si>
    <t>Revenue ($mm)</t>
  </si>
  <si>
    <t>EBITDA ($mm)</t>
  </si>
  <si>
    <t>Net Inc ($mm)</t>
  </si>
  <si>
    <t>Deuda ($mm)</t>
  </si>
  <si>
    <t>Cash ($mm)</t>
  </si>
  <si>
    <t>Mkt Cap ($mm)</t>
  </si>
  <si>
    <t>EV ($mm)</t>
  </si>
  <si>
    <t>P/E</t>
  </si>
  <si>
    <t>Rev Growth %</t>
  </si>
  <si>
    <t>Empleados</t>
  </si>
  <si>
    <t>EBITDA Mg%</t>
  </si>
  <si>
    <t>Net Mg%</t>
  </si>
  <si>
    <t>Gross Mg%</t>
  </si>
  <si>
    <t>EV/Revenue</t>
  </si>
  <si>
    <t>EV/EBITDA</t>
  </si>
  <si>
    <t>AMZN</t>
  </si>
  <si>
    <t>Amazon.com, Inc.</t>
  </si>
  <si>
    <t>United States</t>
  </si>
  <si>
    <t>Consumer Cyclical</t>
  </si>
  <si>
    <t>Internet Retail</t>
  </si>
  <si>
    <t>Amazon.com, Inc. engages in the retail sale of consumer products, advertising, and subscriptions service through online and physical stores in North America and internationally. The company operates through three segments: North America, International, and Amazon Web Services (AWS).</t>
  </si>
  <si>
    <t>CPNG</t>
  </si>
  <si>
    <t>Coupang, Inc.</t>
  </si>
  <si>
    <t>Coupang, Inc., together with its subsidiaries, owns and operates retail business through its mobile applications and internet websites in South Korea and internationally. It operates through Product Commerce and Developing Offerings segments.</t>
  </si>
  <si>
    <t>DASH</t>
  </si>
  <si>
    <t>DoorDash, Inc.</t>
  </si>
  <si>
    <t>DoorDash, Inc., together with its subsidiaries, operates a commerce platform that connects merchants, consumers, and dashers in the United States and internationally.</t>
  </si>
  <si>
    <t>CHWY</t>
  </si>
  <si>
    <t>Chewy, Inc.</t>
  </si>
  <si>
    <t>Chewy, Inc., together with its subsidiaries, engages in the e-commerce business in the United States. It offers pet food and treats, pet supplies and pet medications, and other pet-health products, as well as pet services.</t>
  </si>
  <si>
    <t>EBAY</t>
  </si>
  <si>
    <t>eBay Inc.</t>
  </si>
  <si>
    <t>eBay Inc., together with its subsidiaries, operates marketplace platforms that connect buyers and sellers in the United States, the United Kingdom, China, Germany, and internationally.</t>
  </si>
  <si>
    <t>CART</t>
  </si>
  <si>
    <t>Maplebear Inc.</t>
  </si>
  <si>
    <t>Maplebear Inc., doing business as Instacart, operates as a technology and enablement partner for the grocery industry in the United States and internationally.</t>
  </si>
  <si>
    <t>ETSY</t>
  </si>
  <si>
    <t>Etsy, Inc.</t>
  </si>
  <si>
    <t>Etsy, Inc., together with its subsidiaries, operates two-sided online marketplaces that connect buyers and sellers in the United States, the United Kingdom, and internationally. It operates through Etsy and Depop segments.</t>
  </si>
  <si>
    <t>RVLV</t>
  </si>
  <si>
    <t>Revolve Group, Inc.</t>
  </si>
  <si>
    <t>Revolve Group, Inc. operates as a fashion retailer for millennial and generation z consumers in the United States and internationally. The company operates in two segments, REVOLVE and FWRD.</t>
  </si>
  <si>
    <t>GLBE</t>
  </si>
  <si>
    <t>Global-E Online Ltd.</t>
  </si>
  <si>
    <t>Israel</t>
  </si>
  <si>
    <t>Global-E Online Ltd., together with its subsidiaries, provides direct-to-consumer cross-border e-commerce platform in Israel, the United Kingdom, the United States, and internationally. Its platform enables international shoppers to buy online and merchants to sell from and to worldwide.</t>
  </si>
  <si>
    <t>Mediana</t>
  </si>
  <si>
    <t>Promedio</t>
  </si>
  <si>
    <t>── IMPLIED VALUATION ──</t>
  </si>
  <si>
    <t>EV Implied — EV/Revenue (mediana)</t>
  </si>
  <si>
    <t>EV Implied — EV/EBITDA (mediana)</t>
  </si>
  <si>
    <t>Industry Universe — MELI | Technology</t>
  </si>
  <si>
    <t>Fecha: 23/03/2026  |  Fuente: Yahoo Finance (TTM)  |  10 empresas  |  DealDesk</t>
  </si>
  <si>
    <t>LQDT</t>
  </si>
  <si>
    <t>Liquidity Services, Inc.</t>
  </si>
  <si>
    <t>Liquidity Services, Inc. engages in the provision of e-commerce marketplaces, self-directed auction listing tools, and value-added services in the United States and internationally.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</si>
</sst>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&quot;x&quot;"/>
    <numFmt numFmtId="166" formatCode="0.0&quot;%&quot;"/>
    <numFmt numFmtId="167" formatCode="0&quot;%&quot;"/>
  </numFmts>
  <fonts count="9" x14ac:knownFonts="1">
    <font>
      <sz val="11"/>
      <color theme="1"/>
      <name val="Calibri"/>
      <family val="2"/>
      <scheme val="minor"/>
    </font>
    <font>
      <b/>
      <sz val="13"/>
      <color rgb="FF86BC25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1"/>
      <color rgb="FF86BC25"/>
      <name val="Arial"/>
    </font>
    <font>
      <sz val="9"/>
      <color rgb="FF0000FF"/>
      <name val="Arial"/>
    </font>
    <font>
      <b/>
      <sz val="10"/>
      <color rgb="FF86BC25"/>
      <name val="Arial"/>
    </font>
  </fonts>
  <fills count="7">
    <fill>
      <patternFill patternType="none"/>
    </fill>
    <fill>
      <patternFill patternType="gray125"/>
    </fill>
    <fill>
      <patternFill patternType="solid">
        <fgColor rgb="FF86BC25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0" xfId="0" applyFont="1"/>
    <xf numFmtId="3" fontId="7" fillId="6" borderId="1" xfId="0" applyNumberFormat="1" applyFont="1" applyFill="1" applyBorder="1"/>
    <xf numFmtId="167" fontId="7" fillId="6" borderId="1" xfId="0" applyNumberFormat="1" applyFont="1" applyFill="1" applyBorder="1"/>
    <xf numFmtId="0" fontId="8" fillId="0" borderId="0" xfId="0" applyFont="1"/>
    <xf numFmtId="3" fontId="5" fillId="5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  <col min="3" max="3" width="14" customWidth="1"/>
    <col min="4" max="4" width="18" customWidth="1"/>
    <col min="5" max="5" width="24" customWidth="1"/>
    <col min="6" max="6" width="60" customWidth="1"/>
    <col min="7" max="7" width="15" customWidth="1"/>
    <col min="8" max="9" width="14" customWidth="1"/>
    <col min="10" max="11" width="13" customWidth="1"/>
    <col min="12" max="12" width="15" customWidth="1"/>
    <col min="13" max="13" width="14" customWidth="1"/>
    <col min="14" max="14" width="9" customWidth="1"/>
    <col min="15" max="17" width="13" customWidth="1"/>
    <col min="18" max="18" width="12" customWidth="1"/>
    <col min="19" max="21" width="13" customWidth="1"/>
  </cols>
  <sheetData>
    <row r="1" spans="1:21" ht="25.95" customHeight="1" x14ac:dyDescent="0.3">
      <c r="A1" s="26" t="s">
        <v>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6.05" customHeight="1" x14ac:dyDescent="0.3">
      <c r="A2" s="24" t="s">
        <v>64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6" customHeight="1" x14ac:dyDescent="0.3"/>
    <row r="4" spans="1:21" ht="30" customHeight="1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</row>
    <row r="5" spans="1:21" ht="31.95" customHeight="1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3" t="s">
        <v>32</v>
      </c>
      <c r="G5" s="4">
        <v>716924</v>
      </c>
      <c r="H5" s="4">
        <v>165341</v>
      </c>
      <c r="I5" s="4">
        <v>77670</v>
      </c>
      <c r="J5" s="4">
        <v>178547</v>
      </c>
      <c r="K5" s="4">
        <v>123029</v>
      </c>
      <c r="L5" s="4">
        <v>2281492.7000000002</v>
      </c>
      <c r="M5" s="4">
        <v>2260148.7000000002</v>
      </c>
      <c r="N5" s="5">
        <v>29.6</v>
      </c>
      <c r="O5" s="6">
        <v>13.6</v>
      </c>
      <c r="P5" s="7">
        <v>1576000</v>
      </c>
      <c r="Q5" s="6">
        <v>23.1</v>
      </c>
      <c r="R5" s="6">
        <v>10.8</v>
      </c>
      <c r="S5" s="6">
        <v>50.3</v>
      </c>
      <c r="T5" s="5">
        <v>3.2</v>
      </c>
      <c r="U5" s="5">
        <v>13.7</v>
      </c>
    </row>
    <row r="6" spans="1:21" ht="31.95" customHeight="1" x14ac:dyDescent="0.3">
      <c r="A6" s="8" t="s">
        <v>33</v>
      </c>
      <c r="B6" s="8" t="s">
        <v>34</v>
      </c>
      <c r="C6" s="8" t="s">
        <v>29</v>
      </c>
      <c r="D6" s="8" t="s">
        <v>30</v>
      </c>
      <c r="E6" s="8" t="s">
        <v>31</v>
      </c>
      <c r="F6" s="9" t="s">
        <v>35</v>
      </c>
      <c r="G6" s="10">
        <v>34534</v>
      </c>
      <c r="H6" s="10">
        <v>1200</v>
      </c>
      <c r="I6" s="10">
        <v>208</v>
      </c>
      <c r="J6" s="10">
        <v>4635</v>
      </c>
      <c r="K6" s="10">
        <v>6318</v>
      </c>
      <c r="L6" s="10">
        <v>35732</v>
      </c>
      <c r="M6" s="10">
        <v>32741.8</v>
      </c>
      <c r="N6" s="11">
        <v>177.7</v>
      </c>
      <c r="O6" s="12">
        <v>10.9</v>
      </c>
      <c r="P6" s="13">
        <v>108000</v>
      </c>
      <c r="Q6" s="12">
        <v>3.5</v>
      </c>
      <c r="R6" s="12">
        <v>0.6</v>
      </c>
      <c r="S6" s="12">
        <v>29.4</v>
      </c>
      <c r="T6" s="11">
        <v>0.9</v>
      </c>
      <c r="U6" s="11">
        <v>27.3</v>
      </c>
    </row>
    <row r="7" spans="1:21" ht="31.95" customHeight="1" x14ac:dyDescent="0.3">
      <c r="A7" s="2" t="s">
        <v>36</v>
      </c>
      <c r="B7" s="2" t="s">
        <v>37</v>
      </c>
      <c r="C7" s="2" t="s">
        <v>29</v>
      </c>
      <c r="D7" s="2" t="s">
        <v>30</v>
      </c>
      <c r="E7" s="2" t="s">
        <v>31</v>
      </c>
      <c r="F7" s="3" t="s">
        <v>38</v>
      </c>
      <c r="G7" s="4">
        <v>13717</v>
      </c>
      <c r="H7" s="4">
        <v>1472</v>
      </c>
      <c r="I7" s="4">
        <v>935</v>
      </c>
      <c r="J7" s="4">
        <v>3290</v>
      </c>
      <c r="K7" s="4">
        <v>5506</v>
      </c>
      <c r="L7" s="4">
        <v>71350.2</v>
      </c>
      <c r="M7" s="4">
        <v>65845.5</v>
      </c>
      <c r="N7" s="5">
        <v>77.099999999999994</v>
      </c>
      <c r="O7" s="6">
        <v>37.700000000000003</v>
      </c>
      <c r="P7" s="7">
        <v>31400</v>
      </c>
      <c r="Q7" s="6">
        <v>10.7</v>
      </c>
      <c r="R7" s="6">
        <v>6.8</v>
      </c>
      <c r="S7" s="6">
        <v>51.8</v>
      </c>
      <c r="T7" s="5">
        <v>4.8</v>
      </c>
      <c r="U7" s="5">
        <v>44.7</v>
      </c>
    </row>
    <row r="8" spans="1:21" ht="31.95" customHeight="1" x14ac:dyDescent="0.3">
      <c r="A8" s="8" t="s">
        <v>39</v>
      </c>
      <c r="B8" s="8" t="s">
        <v>40</v>
      </c>
      <c r="C8" s="8" t="s">
        <v>29</v>
      </c>
      <c r="D8" s="8" t="s">
        <v>30</v>
      </c>
      <c r="E8" s="8" t="s">
        <v>31</v>
      </c>
      <c r="F8" s="9" t="s">
        <v>41</v>
      </c>
      <c r="G8" s="10">
        <v>12584.2</v>
      </c>
      <c r="H8" s="10">
        <v>347.9</v>
      </c>
      <c r="I8" s="10">
        <v>206.4</v>
      </c>
      <c r="J8" s="10">
        <v>558.9</v>
      </c>
      <c r="K8" s="10">
        <v>701.5</v>
      </c>
      <c r="L8" s="10">
        <v>9906</v>
      </c>
      <c r="M8" s="10">
        <v>9555.9</v>
      </c>
      <c r="N8" s="11">
        <v>48.7</v>
      </c>
      <c r="O8" s="12">
        <v>8.3000000000000007</v>
      </c>
      <c r="P8" s="13">
        <v>18000</v>
      </c>
      <c r="Q8" s="12">
        <v>2.8</v>
      </c>
      <c r="R8" s="12">
        <v>1.6</v>
      </c>
      <c r="S8" s="12">
        <v>29.6</v>
      </c>
      <c r="T8" s="11">
        <v>0.8</v>
      </c>
      <c r="U8" s="11">
        <v>27.5</v>
      </c>
    </row>
    <row r="9" spans="1:21" ht="31.95" customHeight="1" x14ac:dyDescent="0.3">
      <c r="A9" s="2" t="s">
        <v>42</v>
      </c>
      <c r="B9" s="2" t="s">
        <v>43</v>
      </c>
      <c r="C9" s="2" t="s">
        <v>29</v>
      </c>
      <c r="D9" s="2" t="s">
        <v>30</v>
      </c>
      <c r="E9" s="2" t="s">
        <v>31</v>
      </c>
      <c r="F9" s="3" t="s">
        <v>44</v>
      </c>
      <c r="G9" s="4">
        <v>11100</v>
      </c>
      <c r="H9" s="4">
        <v>2960</v>
      </c>
      <c r="I9" s="4">
        <v>1996</v>
      </c>
      <c r="J9" s="4">
        <v>7182</v>
      </c>
      <c r="K9" s="4">
        <v>2919</v>
      </c>
      <c r="L9" s="4">
        <v>40912.800000000003</v>
      </c>
      <c r="M9" s="4">
        <v>44126</v>
      </c>
      <c r="N9" s="5">
        <v>21.2</v>
      </c>
      <c r="O9" s="6">
        <v>15</v>
      </c>
      <c r="P9" s="7">
        <v>12300</v>
      </c>
      <c r="Q9" s="6">
        <v>26.7</v>
      </c>
      <c r="R9" s="6">
        <v>18</v>
      </c>
      <c r="S9" s="6">
        <v>71.5</v>
      </c>
      <c r="T9" s="5">
        <v>4</v>
      </c>
      <c r="U9" s="5">
        <v>14.9</v>
      </c>
    </row>
    <row r="10" spans="1:21" ht="31.95" customHeight="1" x14ac:dyDescent="0.3">
      <c r="A10" s="8" t="s">
        <v>45</v>
      </c>
      <c r="B10" s="8" t="s">
        <v>46</v>
      </c>
      <c r="C10" s="8" t="s">
        <v>29</v>
      </c>
      <c r="D10" s="8" t="s">
        <v>30</v>
      </c>
      <c r="E10" s="8" t="s">
        <v>31</v>
      </c>
      <c r="F10" s="9" t="s">
        <v>47</v>
      </c>
      <c r="G10" s="10">
        <v>3742</v>
      </c>
      <c r="H10" s="10">
        <v>598</v>
      </c>
      <c r="I10" s="10">
        <v>438</v>
      </c>
      <c r="J10" s="10">
        <v>36</v>
      </c>
      <c r="K10" s="10">
        <v>687</v>
      </c>
      <c r="L10" s="10">
        <v>9902.7000000000007</v>
      </c>
      <c r="M10" s="10">
        <v>8430.9</v>
      </c>
      <c r="N10" s="11">
        <v>23.6</v>
      </c>
      <c r="O10" s="12">
        <v>12.3</v>
      </c>
      <c r="P10" s="13">
        <v>3600</v>
      </c>
      <c r="Q10" s="12">
        <v>16</v>
      </c>
      <c r="R10" s="12">
        <v>11.7</v>
      </c>
      <c r="S10" s="12">
        <v>73.7</v>
      </c>
      <c r="T10" s="11">
        <v>2.2999999999999998</v>
      </c>
      <c r="U10" s="11">
        <v>14.1</v>
      </c>
    </row>
    <row r="11" spans="1:21" ht="31.95" customHeight="1" x14ac:dyDescent="0.3">
      <c r="A11" s="2" t="s">
        <v>48</v>
      </c>
      <c r="B11" s="2" t="s">
        <v>49</v>
      </c>
      <c r="C11" s="2" t="s">
        <v>29</v>
      </c>
      <c r="D11" s="2" t="s">
        <v>30</v>
      </c>
      <c r="E11" s="2" t="s">
        <v>31</v>
      </c>
      <c r="F11" s="3" t="s">
        <v>50</v>
      </c>
      <c r="G11" s="4">
        <v>2883.5</v>
      </c>
      <c r="H11" s="4">
        <v>476.3</v>
      </c>
      <c r="I11" s="4">
        <v>163</v>
      </c>
      <c r="J11" s="4">
        <v>3115.1</v>
      </c>
      <c r="K11" s="4">
        <v>1619.9</v>
      </c>
      <c r="L11" s="4">
        <v>5291.6</v>
      </c>
      <c r="M11" s="4">
        <v>6580.9</v>
      </c>
      <c r="N11" s="5">
        <v>38.6</v>
      </c>
      <c r="O11" s="6">
        <v>3.5</v>
      </c>
      <c r="P11" s="7">
        <v>2375</v>
      </c>
      <c r="Q11" s="6">
        <v>16.5</v>
      </c>
      <c r="R11" s="6">
        <v>5.7</v>
      </c>
      <c r="S11" s="6">
        <v>71.599999999999994</v>
      </c>
      <c r="T11" s="5">
        <v>2.2999999999999998</v>
      </c>
      <c r="U11" s="5">
        <v>13.8</v>
      </c>
    </row>
    <row r="12" spans="1:21" ht="31.95" customHeight="1" x14ac:dyDescent="0.3">
      <c r="A12" s="8" t="s">
        <v>51</v>
      </c>
      <c r="B12" s="8" t="s">
        <v>52</v>
      </c>
      <c r="C12" s="8" t="s">
        <v>29</v>
      </c>
      <c r="D12" s="8" t="s">
        <v>30</v>
      </c>
      <c r="E12" s="8" t="s">
        <v>31</v>
      </c>
      <c r="F12" s="9" t="s">
        <v>53</v>
      </c>
      <c r="G12" s="10">
        <v>1225.7</v>
      </c>
      <c r="H12" s="10">
        <v>80.7</v>
      </c>
      <c r="I12" s="10">
        <v>61.7</v>
      </c>
      <c r="J12" s="10">
        <v>32.5</v>
      </c>
      <c r="K12" s="10">
        <v>292.3</v>
      </c>
      <c r="L12" s="10">
        <v>1620.7</v>
      </c>
      <c r="M12" s="10">
        <v>1319.5</v>
      </c>
      <c r="N12" s="11">
        <v>26.4</v>
      </c>
      <c r="O12" s="12">
        <v>10.4</v>
      </c>
      <c r="P12" s="13">
        <v>1664</v>
      </c>
      <c r="Q12" s="12">
        <v>6.6</v>
      </c>
      <c r="R12" s="12">
        <v>5</v>
      </c>
      <c r="S12" s="12">
        <v>53.5</v>
      </c>
      <c r="T12" s="11">
        <v>1.1000000000000001</v>
      </c>
      <c r="U12" s="11">
        <v>16.399999999999999</v>
      </c>
    </row>
    <row r="13" spans="1:21" ht="31.95" customHeight="1" x14ac:dyDescent="0.3">
      <c r="A13" s="2" t="s">
        <v>54</v>
      </c>
      <c r="B13" s="2" t="s">
        <v>55</v>
      </c>
      <c r="C13" s="2" t="s">
        <v>56</v>
      </c>
      <c r="D13" s="2" t="s">
        <v>30</v>
      </c>
      <c r="E13" s="2" t="s">
        <v>31</v>
      </c>
      <c r="F13" s="3" t="s">
        <v>57</v>
      </c>
      <c r="G13" s="4">
        <v>888.5</v>
      </c>
      <c r="H13" s="4">
        <v>219.5</v>
      </c>
      <c r="I13" s="4">
        <v>68.3</v>
      </c>
      <c r="J13" s="4">
        <v>23.5</v>
      </c>
      <c r="K13" s="4">
        <v>622.79999999999995</v>
      </c>
      <c r="L13" s="4">
        <v>5532.2</v>
      </c>
      <c r="M13" s="4">
        <v>4903.1000000000004</v>
      </c>
      <c r="N13" s="5">
        <v>83.6</v>
      </c>
      <c r="O13" s="6">
        <v>28</v>
      </c>
      <c r="P13" s="7"/>
      <c r="Q13" s="6">
        <v>24.7</v>
      </c>
      <c r="R13" s="6">
        <v>7.7</v>
      </c>
      <c r="S13" s="6">
        <v>49.1</v>
      </c>
      <c r="T13" s="5">
        <v>5.5</v>
      </c>
      <c r="U13" s="5">
        <v>22.3</v>
      </c>
    </row>
    <row r="14" spans="1:21" ht="31.95" customHeight="1" x14ac:dyDescent="0.3">
      <c r="A14" s="8" t="s">
        <v>65</v>
      </c>
      <c r="B14" s="8" t="s">
        <v>66</v>
      </c>
      <c r="C14" s="8" t="s">
        <v>29</v>
      </c>
      <c r="D14" s="8" t="s">
        <v>30</v>
      </c>
      <c r="E14" s="8" t="s">
        <v>31</v>
      </c>
      <c r="F14" s="9" t="s">
        <v>67</v>
      </c>
      <c r="G14" s="10">
        <v>475.6</v>
      </c>
      <c r="H14" s="10">
        <v>47.8</v>
      </c>
      <c r="I14" s="10">
        <v>29.8</v>
      </c>
      <c r="J14" s="10">
        <v>13.8</v>
      </c>
      <c r="K14" s="10">
        <v>181.4</v>
      </c>
      <c r="L14" s="10">
        <v>927.9</v>
      </c>
      <c r="M14" s="10">
        <v>720.6</v>
      </c>
      <c r="N14" s="11">
        <v>32.5</v>
      </c>
      <c r="O14" s="12">
        <v>-0.9</v>
      </c>
      <c r="P14" s="13">
        <v>818</v>
      </c>
      <c r="Q14" s="12">
        <v>10.1</v>
      </c>
      <c r="R14" s="12">
        <v>6.3</v>
      </c>
      <c r="S14" s="12">
        <v>45.4</v>
      </c>
      <c r="T14" s="11">
        <v>1.5</v>
      </c>
      <c r="U14" s="11">
        <v>15.1</v>
      </c>
    </row>
    <row r="16" spans="1:21" x14ac:dyDescent="0.3">
      <c r="A16" s="14" t="s">
        <v>58</v>
      </c>
      <c r="G16" s="15">
        <f>MEDIAN(G5:G14)</f>
        <v>7421</v>
      </c>
      <c r="H16" s="15">
        <f>MEDIAN(H5:H14)</f>
        <v>537.15</v>
      </c>
      <c r="I16" s="15">
        <f>MEDIAN(I5:I14)</f>
        <v>207.2</v>
      </c>
      <c r="L16" s="15">
        <f>MEDIAN(L5:L14)</f>
        <v>9904.35</v>
      </c>
      <c r="M16" s="15">
        <f>MEDIAN(M5:M14)</f>
        <v>8993.4</v>
      </c>
      <c r="N16" s="16">
        <f>MEDIAN(N5:N14)</f>
        <v>35.549999999999997</v>
      </c>
      <c r="O16" s="17">
        <f>MEDIAN(O5:O14)</f>
        <v>11.600000000000001</v>
      </c>
      <c r="Q16" s="17">
        <f>MEDIAN(Q5:Q14)</f>
        <v>13.35</v>
      </c>
      <c r="R16" s="17">
        <f>MEDIAN(R5:R14)</f>
        <v>6.55</v>
      </c>
      <c r="S16" s="17">
        <f>MEDIAN(S5:S14)</f>
        <v>51.05</v>
      </c>
      <c r="T16" s="16">
        <f>MEDIAN(T5:T14)</f>
        <v>2.2999999999999998</v>
      </c>
      <c r="U16" s="16">
        <f>MEDIAN(U5:U14)</f>
        <v>15.75</v>
      </c>
    </row>
    <row r="17" spans="1:21" x14ac:dyDescent="0.3">
      <c r="A17" s="14" t="s">
        <v>59</v>
      </c>
      <c r="G17" s="15">
        <f>AVERAGE(G5:G14)</f>
        <v>79807.449999999983</v>
      </c>
      <c r="H17" s="15">
        <f>AVERAGE(H5:H14)</f>
        <v>17274.32</v>
      </c>
      <c r="I17" s="15">
        <f>AVERAGE(I5:I14)</f>
        <v>8177.62</v>
      </c>
      <c r="L17" s="15">
        <f>AVERAGE(L5:L14)</f>
        <v>246266.88000000006</v>
      </c>
      <c r="M17" s="15">
        <f>AVERAGE(M5:M14)</f>
        <v>243437.28999999998</v>
      </c>
      <c r="N17" s="16">
        <f>AVERAGE(N5:N14)</f>
        <v>55.9</v>
      </c>
      <c r="O17" s="17">
        <f>AVERAGE(O5:O14)</f>
        <v>13.879999999999999</v>
      </c>
      <c r="Q17" s="17">
        <f>AVERAGE(Q5:Q14)</f>
        <v>14.069999999999999</v>
      </c>
      <c r="R17" s="17">
        <f>AVERAGE(R5:R14)</f>
        <v>7.42</v>
      </c>
      <c r="S17" s="17">
        <f>AVERAGE(S5:S14)</f>
        <v>52.589999999999996</v>
      </c>
      <c r="T17" s="16">
        <f>AVERAGE(T5:T14)</f>
        <v>2.64</v>
      </c>
      <c r="U17" s="16">
        <f>AVERAGE(U5:U14)</f>
        <v>20.98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showGridLines="0" tabSelected="1" workbookViewId="0">
      <pane ySplit="8" topLeftCell="A9" activePane="bottomLeft" state="frozen"/>
      <selection pane="bottomLeft" activeCell="D4" sqref="D4"/>
    </sheetView>
  </sheetViews>
  <sheetFormatPr defaultRowHeight="14.4" x14ac:dyDescent="0.3"/>
  <cols>
    <col min="1" max="1" width="9" customWidth="1"/>
    <col min="2" max="2" width="30" customWidth="1"/>
    <col min="3" max="3" width="14" customWidth="1"/>
    <col min="4" max="4" width="18" customWidth="1"/>
    <col min="5" max="5" width="24" customWidth="1"/>
    <col min="6" max="6" width="60" customWidth="1"/>
    <col min="7" max="7" width="15" customWidth="1"/>
    <col min="8" max="9" width="14" customWidth="1"/>
    <col min="10" max="11" width="13" customWidth="1"/>
    <col min="12" max="12" width="15" customWidth="1"/>
    <col min="13" max="13" width="14" customWidth="1"/>
    <col min="14" max="14" width="9" customWidth="1"/>
    <col min="15" max="17" width="13" customWidth="1"/>
    <col min="18" max="18" width="12" customWidth="1"/>
    <col min="19" max="21" width="13" customWidth="1"/>
  </cols>
  <sheetData>
    <row r="1" spans="1:21" ht="19.95" customHeight="1" x14ac:dyDescent="0.3">
      <c r="A1" s="18" t="s">
        <v>0</v>
      </c>
    </row>
    <row r="2" spans="1:21" x14ac:dyDescent="0.3">
      <c r="A2" s="19" t="s">
        <v>1</v>
      </c>
      <c r="B2" s="20">
        <v>28893</v>
      </c>
    </row>
    <row r="3" spans="1:21" x14ac:dyDescent="0.3">
      <c r="A3" s="19" t="s">
        <v>2</v>
      </c>
      <c r="B3" s="21">
        <v>30</v>
      </c>
    </row>
    <row r="4" spans="1:21" x14ac:dyDescent="0.3">
      <c r="A4" s="19" t="s">
        <v>3</v>
      </c>
      <c r="B4" s="21">
        <v>300</v>
      </c>
    </row>
    <row r="5" spans="1:21" ht="6" customHeight="1" x14ac:dyDescent="0.3"/>
    <row r="6" spans="1:21" ht="24" customHeight="1" x14ac:dyDescent="0.3">
      <c r="A6" s="26" t="s">
        <v>4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ht="16.05" customHeight="1" x14ac:dyDescent="0.3">
      <c r="A7" s="24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30" customHeight="1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20</v>
      </c>
      <c r="P8" s="1" t="s">
        <v>21</v>
      </c>
      <c r="Q8" s="1" t="s">
        <v>22</v>
      </c>
      <c r="R8" s="1" t="s">
        <v>23</v>
      </c>
      <c r="S8" s="1" t="s">
        <v>24</v>
      </c>
      <c r="T8" s="1" t="s">
        <v>25</v>
      </c>
      <c r="U8" s="1" t="s">
        <v>26</v>
      </c>
    </row>
    <row r="9" spans="1:21" ht="31.95" customHeight="1" x14ac:dyDescent="0.3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3" t="s">
        <v>32</v>
      </c>
      <c r="G9" s="4">
        <v>716924</v>
      </c>
      <c r="H9" s="4">
        <v>165341</v>
      </c>
      <c r="I9" s="4">
        <v>77670</v>
      </c>
      <c r="J9" s="4">
        <v>178547</v>
      </c>
      <c r="K9" s="4">
        <v>123029</v>
      </c>
      <c r="L9" s="4">
        <v>2281492.7000000002</v>
      </c>
      <c r="M9" s="4">
        <v>2260148.7000000002</v>
      </c>
      <c r="N9" s="5">
        <v>29.6</v>
      </c>
      <c r="O9" s="6">
        <v>13.6</v>
      </c>
      <c r="P9" s="7">
        <v>1576000</v>
      </c>
      <c r="Q9" s="6">
        <v>23.1</v>
      </c>
      <c r="R9" s="6">
        <v>10.8</v>
      </c>
      <c r="S9" s="6">
        <v>50.3</v>
      </c>
      <c r="T9" s="5">
        <v>3.2</v>
      </c>
      <c r="U9" s="5">
        <v>13.7</v>
      </c>
    </row>
    <row r="10" spans="1:21" ht="31.95" customHeight="1" x14ac:dyDescent="0.3">
      <c r="A10" s="8" t="s">
        <v>33</v>
      </c>
      <c r="B10" s="8" t="s">
        <v>34</v>
      </c>
      <c r="C10" s="8" t="s">
        <v>29</v>
      </c>
      <c r="D10" s="8" t="s">
        <v>30</v>
      </c>
      <c r="E10" s="8" t="s">
        <v>31</v>
      </c>
      <c r="F10" s="9" t="s">
        <v>35</v>
      </c>
      <c r="G10" s="10">
        <v>34534</v>
      </c>
      <c r="H10" s="10">
        <v>1200</v>
      </c>
      <c r="I10" s="10">
        <v>208</v>
      </c>
      <c r="J10" s="10">
        <v>4635</v>
      </c>
      <c r="K10" s="10">
        <v>6318</v>
      </c>
      <c r="L10" s="10">
        <v>35732</v>
      </c>
      <c r="M10" s="10">
        <v>32741.8</v>
      </c>
      <c r="N10" s="11">
        <v>177.7</v>
      </c>
      <c r="O10" s="12">
        <v>10.9</v>
      </c>
      <c r="P10" s="13">
        <v>108000</v>
      </c>
      <c r="Q10" s="12">
        <v>3.5</v>
      </c>
      <c r="R10" s="12">
        <v>0.6</v>
      </c>
      <c r="S10" s="12">
        <v>29.4</v>
      </c>
      <c r="T10" s="11">
        <v>0.9</v>
      </c>
      <c r="U10" s="11">
        <v>27.3</v>
      </c>
    </row>
    <row r="11" spans="1:21" ht="31.95" customHeight="1" x14ac:dyDescent="0.3">
      <c r="A11" s="2" t="s">
        <v>36</v>
      </c>
      <c r="B11" s="2" t="s">
        <v>37</v>
      </c>
      <c r="C11" s="2" t="s">
        <v>29</v>
      </c>
      <c r="D11" s="2" t="s">
        <v>30</v>
      </c>
      <c r="E11" s="2" t="s">
        <v>31</v>
      </c>
      <c r="F11" s="3" t="s">
        <v>38</v>
      </c>
      <c r="G11" s="4">
        <v>13717</v>
      </c>
      <c r="H11" s="4">
        <v>1472</v>
      </c>
      <c r="I11" s="4">
        <v>935</v>
      </c>
      <c r="J11" s="4">
        <v>3290</v>
      </c>
      <c r="K11" s="4">
        <v>5506</v>
      </c>
      <c r="L11" s="4">
        <v>71350.2</v>
      </c>
      <c r="M11" s="4">
        <v>65845.5</v>
      </c>
      <c r="N11" s="5">
        <v>77.099999999999994</v>
      </c>
      <c r="O11" s="6">
        <v>37.700000000000003</v>
      </c>
      <c r="P11" s="7">
        <v>31400</v>
      </c>
      <c r="Q11" s="6">
        <v>10.7</v>
      </c>
      <c r="R11" s="6">
        <v>6.8</v>
      </c>
      <c r="S11" s="6">
        <v>51.8</v>
      </c>
      <c r="T11" s="5">
        <v>4.8</v>
      </c>
      <c r="U11" s="5">
        <v>44.7</v>
      </c>
    </row>
    <row r="12" spans="1:21" ht="31.95" customHeight="1" x14ac:dyDescent="0.3">
      <c r="A12" s="8" t="s">
        <v>39</v>
      </c>
      <c r="B12" s="8" t="s">
        <v>40</v>
      </c>
      <c r="C12" s="8" t="s">
        <v>29</v>
      </c>
      <c r="D12" s="8" t="s">
        <v>30</v>
      </c>
      <c r="E12" s="8" t="s">
        <v>31</v>
      </c>
      <c r="F12" s="9" t="s">
        <v>41</v>
      </c>
      <c r="G12" s="10">
        <v>12584.2</v>
      </c>
      <c r="H12" s="10">
        <v>347.9</v>
      </c>
      <c r="I12" s="10">
        <v>206.4</v>
      </c>
      <c r="J12" s="10">
        <v>558.9</v>
      </c>
      <c r="K12" s="10">
        <v>701.5</v>
      </c>
      <c r="L12" s="10">
        <v>9906</v>
      </c>
      <c r="M12" s="10">
        <v>9555.9</v>
      </c>
      <c r="N12" s="11">
        <v>48.7</v>
      </c>
      <c r="O12" s="12">
        <v>8.3000000000000007</v>
      </c>
      <c r="P12" s="13">
        <v>18000</v>
      </c>
      <c r="Q12" s="12">
        <v>2.8</v>
      </c>
      <c r="R12" s="12">
        <v>1.6</v>
      </c>
      <c r="S12" s="12">
        <v>29.6</v>
      </c>
      <c r="T12" s="11">
        <v>0.8</v>
      </c>
      <c r="U12" s="11">
        <v>27.5</v>
      </c>
    </row>
    <row r="13" spans="1:21" ht="31.95" customHeight="1" x14ac:dyDescent="0.3">
      <c r="A13" s="2" t="s">
        <v>42</v>
      </c>
      <c r="B13" s="2" t="s">
        <v>43</v>
      </c>
      <c r="C13" s="2" t="s">
        <v>29</v>
      </c>
      <c r="D13" s="2" t="s">
        <v>30</v>
      </c>
      <c r="E13" s="2" t="s">
        <v>31</v>
      </c>
      <c r="F13" s="3" t="s">
        <v>44</v>
      </c>
      <c r="G13" s="4">
        <v>11100</v>
      </c>
      <c r="H13" s="4">
        <v>2960</v>
      </c>
      <c r="I13" s="4">
        <v>1996</v>
      </c>
      <c r="J13" s="4">
        <v>7182</v>
      </c>
      <c r="K13" s="4">
        <v>2919</v>
      </c>
      <c r="L13" s="4">
        <v>40912.800000000003</v>
      </c>
      <c r="M13" s="4">
        <v>44126</v>
      </c>
      <c r="N13" s="5">
        <v>21.2</v>
      </c>
      <c r="O13" s="6">
        <v>15</v>
      </c>
      <c r="P13" s="7">
        <v>12300</v>
      </c>
      <c r="Q13" s="6">
        <v>26.7</v>
      </c>
      <c r="R13" s="6">
        <v>18</v>
      </c>
      <c r="S13" s="6">
        <v>71.5</v>
      </c>
      <c r="T13" s="5">
        <v>4</v>
      </c>
      <c r="U13" s="5">
        <v>14.9</v>
      </c>
    </row>
    <row r="14" spans="1:21" ht="31.95" customHeight="1" x14ac:dyDescent="0.3">
      <c r="A14" s="8" t="s">
        <v>45</v>
      </c>
      <c r="B14" s="8" t="s">
        <v>46</v>
      </c>
      <c r="C14" s="8" t="s">
        <v>29</v>
      </c>
      <c r="D14" s="8" t="s">
        <v>30</v>
      </c>
      <c r="E14" s="8" t="s">
        <v>31</v>
      </c>
      <c r="F14" s="9" t="s">
        <v>47</v>
      </c>
      <c r="G14" s="10">
        <v>3742</v>
      </c>
      <c r="H14" s="10">
        <v>598</v>
      </c>
      <c r="I14" s="10">
        <v>438</v>
      </c>
      <c r="J14" s="10">
        <v>36</v>
      </c>
      <c r="K14" s="10">
        <v>687</v>
      </c>
      <c r="L14" s="10">
        <v>9902.7000000000007</v>
      </c>
      <c r="M14" s="10">
        <v>8430.9</v>
      </c>
      <c r="N14" s="11">
        <v>23.6</v>
      </c>
      <c r="O14" s="12">
        <v>12.3</v>
      </c>
      <c r="P14" s="13">
        <v>3600</v>
      </c>
      <c r="Q14" s="12">
        <v>16</v>
      </c>
      <c r="R14" s="12">
        <v>11.7</v>
      </c>
      <c r="S14" s="12">
        <v>73.7</v>
      </c>
      <c r="T14" s="11">
        <v>2.2999999999999998</v>
      </c>
      <c r="U14" s="11">
        <v>14.1</v>
      </c>
    </row>
    <row r="15" spans="1:21" ht="31.95" customHeight="1" x14ac:dyDescent="0.3">
      <c r="A15" s="2" t="s">
        <v>48</v>
      </c>
      <c r="B15" s="2" t="s">
        <v>49</v>
      </c>
      <c r="C15" s="2" t="s">
        <v>29</v>
      </c>
      <c r="D15" s="2" t="s">
        <v>30</v>
      </c>
      <c r="E15" s="2" t="s">
        <v>31</v>
      </c>
      <c r="F15" s="3" t="s">
        <v>50</v>
      </c>
      <c r="G15" s="4">
        <v>2883.5</v>
      </c>
      <c r="H15" s="4">
        <v>476.3</v>
      </c>
      <c r="I15" s="4">
        <v>163</v>
      </c>
      <c r="J15" s="4">
        <v>3115.1</v>
      </c>
      <c r="K15" s="4">
        <v>1619.9</v>
      </c>
      <c r="L15" s="4">
        <v>5291.6</v>
      </c>
      <c r="M15" s="4">
        <v>6580.9</v>
      </c>
      <c r="N15" s="5">
        <v>38.6</v>
      </c>
      <c r="O15" s="6">
        <v>3.5</v>
      </c>
      <c r="P15" s="7">
        <v>2375</v>
      </c>
      <c r="Q15" s="6">
        <v>16.5</v>
      </c>
      <c r="R15" s="6">
        <v>5.7</v>
      </c>
      <c r="S15" s="6">
        <v>71.599999999999994</v>
      </c>
      <c r="T15" s="5">
        <v>2.2999999999999998</v>
      </c>
      <c r="U15" s="5">
        <v>13.8</v>
      </c>
    </row>
    <row r="16" spans="1:21" ht="31.95" customHeight="1" x14ac:dyDescent="0.3">
      <c r="A16" s="8" t="s">
        <v>51</v>
      </c>
      <c r="B16" s="8" t="s">
        <v>52</v>
      </c>
      <c r="C16" s="8" t="s">
        <v>29</v>
      </c>
      <c r="D16" s="8" t="s">
        <v>30</v>
      </c>
      <c r="E16" s="8" t="s">
        <v>31</v>
      </c>
      <c r="F16" s="9" t="s">
        <v>53</v>
      </c>
      <c r="G16" s="10">
        <v>1225.7</v>
      </c>
      <c r="H16" s="10">
        <v>80.7</v>
      </c>
      <c r="I16" s="10">
        <v>61.7</v>
      </c>
      <c r="J16" s="10">
        <v>32.5</v>
      </c>
      <c r="K16" s="10">
        <v>292.3</v>
      </c>
      <c r="L16" s="10">
        <v>1620.7</v>
      </c>
      <c r="M16" s="10">
        <v>1319.5</v>
      </c>
      <c r="N16" s="11">
        <v>26.4</v>
      </c>
      <c r="O16" s="12">
        <v>10.4</v>
      </c>
      <c r="P16" s="13">
        <v>1664</v>
      </c>
      <c r="Q16" s="12">
        <v>6.6</v>
      </c>
      <c r="R16" s="12">
        <v>5</v>
      </c>
      <c r="S16" s="12">
        <v>53.5</v>
      </c>
      <c r="T16" s="11">
        <v>1.1000000000000001</v>
      </c>
      <c r="U16" s="11">
        <v>16.399999999999999</v>
      </c>
    </row>
    <row r="17" spans="1:21" ht="31.95" customHeight="1" x14ac:dyDescent="0.3">
      <c r="A17" s="2" t="s">
        <v>54</v>
      </c>
      <c r="B17" s="2" t="s">
        <v>55</v>
      </c>
      <c r="C17" s="2" t="s">
        <v>56</v>
      </c>
      <c r="D17" s="2" t="s">
        <v>30</v>
      </c>
      <c r="E17" s="2" t="s">
        <v>31</v>
      </c>
      <c r="F17" s="3" t="s">
        <v>57</v>
      </c>
      <c r="G17" s="4">
        <v>888.5</v>
      </c>
      <c r="H17" s="4">
        <v>219.5</v>
      </c>
      <c r="I17" s="4">
        <v>68.3</v>
      </c>
      <c r="J17" s="4">
        <v>23.5</v>
      </c>
      <c r="K17" s="4">
        <v>622.79999999999995</v>
      </c>
      <c r="L17" s="4">
        <v>5532.2</v>
      </c>
      <c r="M17" s="4">
        <v>4903.1000000000004</v>
      </c>
      <c r="N17" s="5">
        <v>83.6</v>
      </c>
      <c r="O17" s="6">
        <v>28</v>
      </c>
      <c r="P17" s="7"/>
      <c r="Q17" s="6">
        <v>24.7</v>
      </c>
      <c r="R17" s="6">
        <v>7.7</v>
      </c>
      <c r="S17" s="6">
        <v>49.1</v>
      </c>
      <c r="T17" s="5">
        <v>5.5</v>
      </c>
      <c r="U17" s="5">
        <v>22.3</v>
      </c>
    </row>
    <row r="19" spans="1:21" x14ac:dyDescent="0.3">
      <c r="A19" s="14" t="s">
        <v>58</v>
      </c>
      <c r="G19" s="15">
        <f>MEDIAN(G9:G17)</f>
        <v>11100</v>
      </c>
      <c r="H19" s="15">
        <f>MEDIAN(H9:H17)</f>
        <v>598</v>
      </c>
      <c r="I19" s="15">
        <f>MEDIAN(I9:I17)</f>
        <v>208</v>
      </c>
      <c r="L19" s="15">
        <f>MEDIAN(L9:L17)</f>
        <v>9906</v>
      </c>
      <c r="M19" s="15">
        <f>MEDIAN(M9:M17)</f>
        <v>9555.9</v>
      </c>
      <c r="N19" s="16">
        <f>MEDIAN(N9:N17)</f>
        <v>38.6</v>
      </c>
      <c r="O19" s="17">
        <f>MEDIAN(O9:O17)</f>
        <v>12.3</v>
      </c>
      <c r="Q19" s="17">
        <f>MEDIAN(Q9:Q17)</f>
        <v>16</v>
      </c>
      <c r="R19" s="17">
        <f>MEDIAN(R9:R17)</f>
        <v>6.8</v>
      </c>
      <c r="S19" s="17">
        <f>MEDIAN(S9:S17)</f>
        <v>51.8</v>
      </c>
      <c r="T19" s="16">
        <f>MEDIAN(T9:T17)</f>
        <v>2.2999999999999998</v>
      </c>
      <c r="U19" s="16">
        <f>MEDIAN(U9:U17)</f>
        <v>16.399999999999999</v>
      </c>
    </row>
    <row r="20" spans="1:21" x14ac:dyDescent="0.3">
      <c r="A20" s="14" t="s">
        <v>59</v>
      </c>
      <c r="G20" s="15">
        <f>AVERAGE(G9:G17)</f>
        <v>88622.099999999991</v>
      </c>
      <c r="H20" s="15">
        <f>AVERAGE(H9:H17)</f>
        <v>19188.377777777776</v>
      </c>
      <c r="I20" s="15">
        <f>AVERAGE(I9:I17)</f>
        <v>9082.9333333333325</v>
      </c>
      <c r="L20" s="15">
        <f>AVERAGE(L9:L17)</f>
        <v>273526.76666666678</v>
      </c>
      <c r="M20" s="15">
        <f>AVERAGE(M9:M17)</f>
        <v>270405.81111111108</v>
      </c>
      <c r="N20" s="16">
        <f>AVERAGE(N9:N17)</f>
        <v>58.5</v>
      </c>
      <c r="O20" s="17">
        <f>AVERAGE(O9:O17)</f>
        <v>15.52222222222222</v>
      </c>
      <c r="Q20" s="17">
        <f>AVERAGE(Q9:Q17)</f>
        <v>14.511111111111111</v>
      </c>
      <c r="R20" s="17">
        <f>AVERAGE(R9:R17)</f>
        <v>7.5444444444444452</v>
      </c>
      <c r="S20" s="17">
        <f>AVERAGE(S9:S17)</f>
        <v>53.388888888888886</v>
      </c>
      <c r="T20" s="16">
        <f>AVERAGE(T9:T17)</f>
        <v>2.7666666666666671</v>
      </c>
      <c r="U20" s="16">
        <f>AVERAGE(U9:U17)</f>
        <v>21.633333333333336</v>
      </c>
    </row>
    <row r="23" spans="1:21" ht="19.95" customHeight="1" x14ac:dyDescent="0.3">
      <c r="A23" s="22" t="s">
        <v>60</v>
      </c>
    </row>
    <row r="24" spans="1:21" x14ac:dyDescent="0.3">
      <c r="A24" s="19" t="s">
        <v>1</v>
      </c>
      <c r="B24" s="23">
        <f>$B$2</f>
        <v>28893</v>
      </c>
    </row>
    <row r="25" spans="1:21" x14ac:dyDescent="0.3">
      <c r="A25" s="19" t="s">
        <v>61</v>
      </c>
      <c r="B25" s="23">
        <f>$B$2*T19</f>
        <v>66453.899999999994</v>
      </c>
    </row>
    <row r="26" spans="1:21" x14ac:dyDescent="0.3">
      <c r="A26" s="19" t="s">
        <v>62</v>
      </c>
      <c r="B26" s="23">
        <f>$B$2*(Q19/100)*U19</f>
        <v>75815.231999999989</v>
      </c>
    </row>
  </sheetData>
  <mergeCells count="2">
    <mergeCell ref="A7:U7"/>
    <mergeCell ref="A6:U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Industry Universe</vt:lpstr>
      <vt:lpstr>Comparable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Pini</cp:lastModifiedBy>
  <dcterms:created xsi:type="dcterms:W3CDTF">2026-03-23T15:10:11Z</dcterms:created>
  <dcterms:modified xsi:type="dcterms:W3CDTF">2026-03-23T15:10:39Z</dcterms:modified>
</cp:coreProperties>
</file>