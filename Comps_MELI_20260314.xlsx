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verse Completo" sheetId="1" state="visible" r:id="rId1"/>
    <sheet xmlns:r="http://schemas.openxmlformats.org/officeDocument/2006/relationships" name="Comps Filtradas" sheetId="2" state="visible" r:id="rId2"/>
  </sheets>
  <definedNames/>
  <calcPr calcId="124519" fullCalcOnLoad="1"/>
</workbook>
</file>

<file path=xl/styles.xml><?xml version="1.0" encoding="utf-8"?>
<styleSheet xmlns="http://schemas.openxmlformats.org/spreadsheetml/2006/main">
  <numFmts count="4">
    <numFmt numFmtId="164" formatCode="#,##0.0"/>
    <numFmt numFmtId="165" formatCode="0.0&quot;x&quot;"/>
    <numFmt numFmtId="166" formatCode="0.0&quot;%&quot;"/>
    <numFmt numFmtId="167" formatCode="0&quot;%&quot;"/>
  </numFmts>
  <fonts count="9">
    <font>
      <name val="Calibri"/>
      <family val="2"/>
      <color theme="1"/>
      <sz val="11"/>
      <scheme val="minor"/>
    </font>
    <font>
      <name val="Arial"/>
      <b val="1"/>
      <color rgb="0086BC25"/>
      <sz val="13"/>
    </font>
    <font>
      <name val="Arial"/>
      <i val="1"/>
      <color rgb="00666666"/>
      <sz val="9"/>
    </font>
    <font>
      <name val="Arial"/>
      <b val="1"/>
      <color rgb="00FFFFFF"/>
      <sz val="9"/>
    </font>
    <font>
      <name val="Arial"/>
      <sz val="9"/>
    </font>
    <font>
      <name val="Arial"/>
      <b val="1"/>
      <sz val="9"/>
    </font>
    <font>
      <name val="Arial"/>
      <b val="1"/>
      <color rgb="0086BC25"/>
      <sz val="11"/>
    </font>
    <font>
      <name val="Arial"/>
      <color rgb="000000FF"/>
      <sz val="9"/>
    </font>
    <font>
      <name val="Arial"/>
      <b val="1"/>
      <color rgb="0086BC25"/>
      <sz val="10"/>
    </font>
  </fonts>
  <fills count="7">
    <fill>
      <patternFill/>
    </fill>
    <fill>
      <patternFill patternType="gray125"/>
    </fill>
    <fill>
      <patternFill patternType="solid">
        <fgColor rgb="0086BC25"/>
      </patternFill>
    </fill>
    <fill>
      <patternFill patternType="solid">
        <fgColor rgb="00FFFFFF"/>
      </patternFill>
    </fill>
    <fill>
      <patternFill patternType="solid">
        <fgColor rgb="00F5F5F5"/>
      </patternFill>
    </fill>
    <fill>
      <patternFill patternType="solid">
        <fgColor rgb="00DCE6F1"/>
      </patternFill>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left" vertical="center"/>
    </xf>
    <xf numFmtId="0" fontId="4" fillId="3" borderId="1" applyAlignment="1" pivotButton="0" quotePrefix="0" xfId="0">
      <alignment horizontal="left" vertical="top" wrapText="1"/>
    </xf>
    <xf numFmtId="164" fontId="4" fillId="3" borderId="1" applyAlignment="1" pivotButton="0" quotePrefix="0" xfId="0">
      <alignment horizontal="right" vertical="center"/>
    </xf>
    <xf numFmtId="165" fontId="4" fillId="3" borderId="1" applyAlignment="1" pivotButton="0" quotePrefix="0" xfId="0">
      <alignment horizontal="right" vertical="center"/>
    </xf>
    <xf numFmtId="166" fontId="4" fillId="3" borderId="1" applyAlignment="1" pivotButton="0" quotePrefix="0" xfId="0">
      <alignment horizontal="right" vertical="center"/>
    </xf>
    <xf numFmtId="3" fontId="4" fillId="3" borderId="1" applyAlignment="1" pivotButton="0" quotePrefix="0" xfId="0">
      <alignment horizontal="right" vertical="center"/>
    </xf>
    <xf numFmtId="0" fontId="4" fillId="4" borderId="1" applyAlignment="1" pivotButton="0" quotePrefix="0" xfId="0">
      <alignment horizontal="left" vertical="center"/>
    </xf>
    <xf numFmtId="0" fontId="4" fillId="4" borderId="1" applyAlignment="1" pivotButton="0" quotePrefix="0" xfId="0">
      <alignment horizontal="left" vertical="top" wrapText="1"/>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166" fontId="4" fillId="4" borderId="1" applyAlignment="1" pivotButton="0" quotePrefix="0" xfId="0">
      <alignment horizontal="right" vertical="center"/>
    </xf>
    <xf numFmtId="3" fontId="4" fillId="4" borderId="1" applyAlignment="1" pivotButton="0" quotePrefix="0" xfId="0">
      <alignment horizontal="right" vertical="center"/>
    </xf>
    <xf numFmtId="0" fontId="5" fillId="5" borderId="1" pivotButton="0" quotePrefix="0" xfId="0"/>
    <xf numFmtId="164" fontId="5" fillId="5" borderId="1" applyAlignment="1" pivotButton="0" quotePrefix="0" xfId="0">
      <alignment horizontal="right" vertical="center"/>
    </xf>
    <xf numFmtId="165" fontId="5" fillId="5" borderId="1" applyAlignment="1" pivotButton="0" quotePrefix="0" xfId="0">
      <alignment horizontal="right" vertical="center"/>
    </xf>
    <xf numFmtId="166" fontId="5" fillId="5" borderId="1" applyAlignment="1" pivotButton="0" quotePrefix="0" xfId="0">
      <alignment horizontal="right" vertical="center"/>
    </xf>
    <xf numFmtId="0" fontId="6" fillId="0" borderId="0" pivotButton="0" quotePrefix="0" xfId="0"/>
    <xf numFmtId="0" fontId="4" fillId="0" borderId="0" pivotButton="0" quotePrefix="0" xfId="0"/>
    <xf numFmtId="3" fontId="7" fillId="6" borderId="1" pivotButton="0" quotePrefix="0" xfId="0"/>
    <xf numFmtId="167" fontId="7" fillId="6" borderId="1" pivotButton="0" quotePrefix="0" xfId="0"/>
    <xf numFmtId="0" fontId="8" fillId="0" borderId="0" pivotButton="0" quotePrefix="0" xfId="0"/>
    <xf numFmtId="3" fontId="5" fillId="5"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showGridLines="0" workbookViewId="0">
      <pane ySplit="3" topLeftCell="A4" activePane="bottomLeft" state="frozen"/>
      <selection pane="bottomLeft" activeCell="A1" sqref="A1"/>
    </sheetView>
  </sheetViews>
  <sheetFormatPr baseColWidth="8" defaultRowHeight="15"/>
  <cols>
    <col width="9" customWidth="1" min="1" max="1"/>
    <col width="30" customWidth="1" min="2" max="2"/>
    <col width="14" customWidth="1" min="3" max="3"/>
    <col width="18" customWidth="1" min="4" max="4"/>
    <col width="24" customWidth="1" min="5" max="5"/>
    <col width="60" customWidth="1" min="6" max="6"/>
    <col width="15" customWidth="1" min="7" max="7"/>
    <col width="14" customWidth="1" min="8" max="8"/>
    <col width="14" customWidth="1" min="9" max="9"/>
    <col width="13" customWidth="1" min="10" max="10"/>
    <col width="13" customWidth="1" min="11" max="11"/>
    <col width="15" customWidth="1" min="12" max="12"/>
    <col width="14" customWidth="1" min="13" max="13"/>
    <col width="9" customWidth="1" min="14" max="14"/>
    <col width="13" customWidth="1" min="15" max="15"/>
    <col width="13" customWidth="1" min="16" max="16"/>
    <col width="13" customWidth="1" min="17" max="17"/>
    <col width="12" customWidth="1" min="18" max="18"/>
    <col width="13" customWidth="1" min="19" max="19"/>
    <col width="13" customWidth="1" min="20" max="20"/>
    <col width="13" customWidth="1" min="21" max="21"/>
  </cols>
  <sheetData>
    <row r="1" ht="26" customHeight="1">
      <c r="A1" s="1" t="inlineStr">
        <is>
          <t>Comparable Companies — Universe | MELI | Technology</t>
        </is>
      </c>
    </row>
    <row r="2" ht="16" customHeight="1">
      <c r="A2" s="2" t="inlineStr">
        <is>
          <t>Analista: Facu  |  Fecha: 14/03/2026  |  Fuente: Yahoo Finance  |  25 empresas</t>
        </is>
      </c>
    </row>
    <row r="4" ht="30" customHeight="1">
      <c r="A4" s="3" t="inlineStr">
        <is>
          <t>Ticker</t>
        </is>
      </c>
      <c r="B4" s="3" t="inlineStr">
        <is>
          <t>Empresa</t>
        </is>
      </c>
      <c r="C4" s="3" t="inlineStr">
        <is>
          <t>País</t>
        </is>
      </c>
      <c r="D4" s="3" t="inlineStr">
        <is>
          <t>Sector</t>
        </is>
      </c>
      <c r="E4" s="3" t="inlineStr">
        <is>
          <t>Industria</t>
        </is>
      </c>
      <c r="F4" s="3" t="inlineStr">
        <is>
          <t>Descripción</t>
        </is>
      </c>
      <c r="G4" s="3" t="inlineStr">
        <is>
          <t>Revenue ($mm)</t>
        </is>
      </c>
      <c r="H4" s="3" t="inlineStr">
        <is>
          <t>EBITDA ($mm)</t>
        </is>
      </c>
      <c r="I4" s="3" t="inlineStr">
        <is>
          <t>Net Inc ($mm)</t>
        </is>
      </c>
      <c r="J4" s="3" t="inlineStr">
        <is>
          <t>Deuda ($mm)</t>
        </is>
      </c>
      <c r="K4" s="3" t="inlineStr">
        <is>
          <t>Cash ($mm)</t>
        </is>
      </c>
      <c r="L4" s="3" t="inlineStr">
        <is>
          <t>Mkt Cap ($mm)</t>
        </is>
      </c>
      <c r="M4" s="3" t="inlineStr">
        <is>
          <t>EV ($mm)</t>
        </is>
      </c>
      <c r="N4" s="3" t="inlineStr">
        <is>
          <t>P/E</t>
        </is>
      </c>
      <c r="O4" s="3" t="inlineStr">
        <is>
          <t>Rev Growth %</t>
        </is>
      </c>
      <c r="P4" s="3" t="inlineStr">
        <is>
          <t>Empleados</t>
        </is>
      </c>
      <c r="Q4" s="3" t="inlineStr">
        <is>
          <t>EBITDA Mg%</t>
        </is>
      </c>
      <c r="R4" s="3" t="inlineStr">
        <is>
          <t>Net Mg%</t>
        </is>
      </c>
      <c r="S4" s="3" t="inlineStr">
        <is>
          <t>Gross Mg%</t>
        </is>
      </c>
      <c r="T4" s="3" t="inlineStr">
        <is>
          <t>EV/Revenue</t>
        </is>
      </c>
      <c r="U4" s="3" t="inlineStr">
        <is>
          <t>EV/EBITDA</t>
        </is>
      </c>
    </row>
    <row r="5" ht="32" customHeight="1">
      <c r="A5" s="4" t="inlineStr">
        <is>
          <t>AMZN</t>
        </is>
      </c>
      <c r="B5" s="4" t="inlineStr">
        <is>
          <t>Amazon.com, Inc.</t>
        </is>
      </c>
      <c r="C5" s="4" t="inlineStr">
        <is>
          <t>United States</t>
        </is>
      </c>
      <c r="D5" s="4" t="inlineStr">
        <is>
          <t>Consumer Cyclical</t>
        </is>
      </c>
      <c r="E5" s="4" t="inlineStr">
        <is>
          <t>Internet Retail</t>
        </is>
      </c>
      <c r="F5" s="5" t="inlineStr">
        <is>
          <t>Amazon.com, Inc. engages in the retail sale of consumer products, advertising, and subscriptions service through online and physical stores in North America and internationally. The company operates through three segm...</t>
        </is>
      </c>
      <c r="G5" s="6" t="n">
        <v>716924</v>
      </c>
      <c r="H5" s="6" t="n">
        <v>165341</v>
      </c>
      <c r="I5" s="6" t="n">
        <v>77670</v>
      </c>
      <c r="J5" s="6" t="n">
        <v>178547</v>
      </c>
      <c r="K5" s="6" t="n">
        <v>123029</v>
      </c>
      <c r="L5" s="6" t="n">
        <v>2229321.1</v>
      </c>
      <c r="M5" s="6" t="n">
        <v>2284839</v>
      </c>
      <c r="N5" s="7" t="n">
        <v>29</v>
      </c>
      <c r="O5" s="8" t="n">
        <v>13.6</v>
      </c>
      <c r="P5" s="9" t="n">
        <v>1576000</v>
      </c>
      <c r="Q5" s="8">
        <f>IF(G5&gt;0,H5/G5*100,"")</f>
        <v/>
      </c>
      <c r="R5" s="8">
        <f>IF(G5&gt;0,I5/G5*100,"")</f>
        <v/>
      </c>
      <c r="S5" s="8" t="n">
        <v>50.3</v>
      </c>
      <c r="T5" s="7">
        <f>IF(G5&gt;0,M5/G5,"")</f>
        <v/>
      </c>
      <c r="U5" s="7">
        <f>IF(H5&gt;0,M5/H5,"")</f>
        <v/>
      </c>
    </row>
    <row r="6" ht="32" customHeight="1">
      <c r="A6" s="10" t="inlineStr">
        <is>
          <t>AAPL</t>
        </is>
      </c>
      <c r="B6" s="10" t="inlineStr">
        <is>
          <t>Apple Inc.</t>
        </is>
      </c>
      <c r="C6" s="10" t="inlineStr">
        <is>
          <t>United States</t>
        </is>
      </c>
      <c r="D6" s="10" t="inlineStr">
        <is>
          <t>Technology</t>
        </is>
      </c>
      <c r="E6" s="10" t="inlineStr">
        <is>
          <t>Consumer Electronics</t>
        </is>
      </c>
      <c r="F6" s="11" t="inlineStr">
        <is>
          <t>Apple Inc. designs, manufactures, and markets smartphones, personal computers, tablets, wearables, and accessories worldwide. The company offers iPhone, a line of smartphones; Mac, a line of personal computers; iPad, ...</t>
        </is>
      </c>
      <c r="G6" s="12" t="n">
        <v>435617</v>
      </c>
      <c r="H6" s="12" t="n">
        <v>152902</v>
      </c>
      <c r="I6" s="12" t="n">
        <v>117777</v>
      </c>
      <c r="J6" s="12" t="n">
        <v>90509</v>
      </c>
      <c r="K6" s="12" t="n">
        <v>66907</v>
      </c>
      <c r="L6" s="12" t="n">
        <v>3676245.1</v>
      </c>
      <c r="M6" s="12" t="n">
        <v>3695648.7</v>
      </c>
      <c r="N6" s="13" t="n">
        <v>31.7</v>
      </c>
      <c r="O6" s="14" t="n">
        <v>15.7</v>
      </c>
      <c r="P6" s="15" t="n">
        <v>150000</v>
      </c>
      <c r="Q6" s="14">
        <f>IF(G6&gt;0,H6/G6*100,"")</f>
        <v/>
      </c>
      <c r="R6" s="14">
        <f>IF(G6&gt;0,I6/G6*100,"")</f>
        <v/>
      </c>
      <c r="S6" s="14" t="n">
        <v>47.3</v>
      </c>
      <c r="T6" s="13">
        <f>IF(G6&gt;0,M6/G6,"")</f>
        <v/>
      </c>
      <c r="U6" s="13">
        <f>IF(H6&gt;0,M6/H6,"")</f>
        <v/>
      </c>
    </row>
    <row r="7" ht="32" customHeight="1">
      <c r="A7" s="4" t="inlineStr">
        <is>
          <t>GOOGL</t>
        </is>
      </c>
      <c r="B7" s="4" t="inlineStr">
        <is>
          <t>Alphabet Inc.</t>
        </is>
      </c>
      <c r="C7" s="4" t="inlineStr">
        <is>
          <t>United States</t>
        </is>
      </c>
      <c r="D7" s="4" t="inlineStr">
        <is>
          <t>Communication Services</t>
        </is>
      </c>
      <c r="E7" s="4" t="inlineStr">
        <is>
          <t>Internet Content &amp; Information</t>
        </is>
      </c>
      <c r="F7" s="5" t="inlineStr">
        <is>
          <t>Alphabet Inc. offers various products and platforms in the United States, Europe, the Middle East, Africa, the Asia-Pacific, Canada, and Latin America. It operates through Google Services, Google Cloud, and Other Bets...</t>
        </is>
      </c>
      <c r="G7" s="6" t="n">
        <v>402837</v>
      </c>
      <c r="H7" s="6" t="n">
        <v>180698</v>
      </c>
      <c r="I7" s="6" t="n">
        <v>132170</v>
      </c>
      <c r="J7" s="6" t="n">
        <v>66996</v>
      </c>
      <c r="K7" s="6" t="n">
        <v>126843</v>
      </c>
      <c r="L7" s="6" t="n">
        <v>3656681.3</v>
      </c>
      <c r="M7" s="6" t="n">
        <v>3596834</v>
      </c>
      <c r="N7" s="7" t="n">
        <v>27.9</v>
      </c>
      <c r="O7" s="8" t="n">
        <v>18</v>
      </c>
      <c r="P7" s="9" t="n">
        <v>190820</v>
      </c>
      <c r="Q7" s="8">
        <f>IF(G7&gt;0,H7/G7*100,"")</f>
        <v/>
      </c>
      <c r="R7" s="8">
        <f>IF(G7&gt;0,I7/G7*100,"")</f>
        <v/>
      </c>
      <c r="S7" s="8" t="n">
        <v>59.7</v>
      </c>
      <c r="T7" s="7">
        <f>IF(G7&gt;0,M7/G7,"")</f>
        <v/>
      </c>
      <c r="U7" s="7">
        <f>IF(H7&gt;0,M7/H7,"")</f>
        <v/>
      </c>
    </row>
    <row r="8" ht="32" customHeight="1">
      <c r="A8" s="10" t="inlineStr">
        <is>
          <t>MSFT</t>
        </is>
      </c>
      <c r="B8" s="10" t="inlineStr">
        <is>
          <t>Microsoft Corporation</t>
        </is>
      </c>
      <c r="C8" s="10" t="inlineStr">
        <is>
          <t>United States</t>
        </is>
      </c>
      <c r="D8" s="10" t="inlineStr">
        <is>
          <t>Technology</t>
        </is>
      </c>
      <c r="E8" s="10" t="inlineStr">
        <is>
          <t>Software - Infrastructure</t>
        </is>
      </c>
      <c r="F8" s="11" t="inlineStr">
        <is>
          <t>Microsoft Corporation develops and supports software, services, devices, and solutions worldwide. The Productivity and Business Processes segment offers Microsoft 365 commercial, enterprise mobility + security, window...</t>
        </is>
      </c>
      <c r="G8" s="12" t="n">
        <v>305453</v>
      </c>
      <c r="H8" s="12" t="n">
        <v>191385</v>
      </c>
      <c r="I8" s="12" t="n">
        <v>119262</v>
      </c>
      <c r="J8" s="12" t="n">
        <v>123278</v>
      </c>
      <c r="K8" s="12" t="n">
        <v>89462</v>
      </c>
      <c r="L8" s="12" t="n">
        <v>2939877.1</v>
      </c>
      <c r="M8" s="12" t="n">
        <v>2971023.7</v>
      </c>
      <c r="N8" s="13" t="n">
        <v>24.8</v>
      </c>
      <c r="O8" s="14" t="n">
        <v>16.7</v>
      </c>
      <c r="P8" s="15" t="n">
        <v>228000</v>
      </c>
      <c r="Q8" s="14">
        <f>IF(G8&gt;0,H8/G8*100,"")</f>
        <v/>
      </c>
      <c r="R8" s="14">
        <f>IF(G8&gt;0,I8/G8*100,"")</f>
        <v/>
      </c>
      <c r="S8" s="14" t="n">
        <v>68.59999999999999</v>
      </c>
      <c r="T8" s="13">
        <f>IF(G8&gt;0,M8/G8,"")</f>
        <v/>
      </c>
      <c r="U8" s="13">
        <f>IF(H8&gt;0,M8/H8,"")</f>
        <v/>
      </c>
    </row>
    <row r="9" ht="32" customHeight="1">
      <c r="A9" s="4" t="inlineStr">
        <is>
          <t>NVDA</t>
        </is>
      </c>
      <c r="B9" s="4" t="inlineStr">
        <is>
          <t>NVIDIA Corporation</t>
        </is>
      </c>
      <c r="C9" s="4" t="inlineStr">
        <is>
          <t>United States</t>
        </is>
      </c>
      <c r="D9" s="4" t="inlineStr">
        <is>
          <t>Technology</t>
        </is>
      </c>
      <c r="E9" s="4" t="inlineStr">
        <is>
          <t>Semiconductors</t>
        </is>
      </c>
      <c r="F9" s="5" t="inlineStr">
        <is>
          <t>NVIDIA Corporation operates as a data center scale AI infrastructure company. The company operates through two segments, Compute &amp; Networking, and Graphics segments. The Compute &amp; Networking segment provides data cent...</t>
        </is>
      </c>
      <c r="G9" s="6" t="n">
        <v>215938</v>
      </c>
      <c r="H9" s="6" t="n">
        <v>144552</v>
      </c>
      <c r="I9" s="6" t="n">
        <v>120067</v>
      </c>
      <c r="J9" s="6" t="n">
        <v>11412</v>
      </c>
      <c r="K9" s="6" t="n">
        <v>62556</v>
      </c>
      <c r="L9" s="6" t="n">
        <v>4380976.2</v>
      </c>
      <c r="M9" s="6" t="n">
        <v>4328930.9</v>
      </c>
      <c r="N9" s="7" t="n">
        <v>36.8</v>
      </c>
      <c r="O9" s="8" t="n">
        <v>73.2</v>
      </c>
      <c r="P9" s="9" t="n">
        <v>42000</v>
      </c>
      <c r="Q9" s="8">
        <f>IF(G9&gt;0,H9/G9*100,"")</f>
        <v/>
      </c>
      <c r="R9" s="8">
        <f>IF(G9&gt;0,I9/G9*100,"")</f>
        <v/>
      </c>
      <c r="S9" s="8" t="n">
        <v>71.09999999999999</v>
      </c>
      <c r="T9" s="7">
        <f>IF(G9&gt;0,M9/G9,"")</f>
        <v/>
      </c>
      <c r="U9" s="7">
        <f>IF(H9&gt;0,M9/H9,"")</f>
        <v/>
      </c>
    </row>
    <row r="10" ht="32" customHeight="1">
      <c r="A10" s="10" t="inlineStr">
        <is>
          <t>META</t>
        </is>
      </c>
      <c r="B10" s="10" t="inlineStr">
        <is>
          <t>Meta Platforms, Inc.</t>
        </is>
      </c>
      <c r="C10" s="10" t="inlineStr">
        <is>
          <t>United States</t>
        </is>
      </c>
      <c r="D10" s="10" t="inlineStr">
        <is>
          <t>Communication Services</t>
        </is>
      </c>
      <c r="E10" s="10" t="inlineStr">
        <is>
          <t>Internet Content &amp; Information</t>
        </is>
      </c>
      <c r="F10" s="11" t="inlineStr">
        <is>
          <t>Meta Platforms, Inc. engages in the development of products that enable people to connect and share with friends and family through mobile devices, personal computers, virtual reality (VR) headsets, and AI glasses in ...</t>
        </is>
      </c>
      <c r="G10" s="12" t="n">
        <v>200965</v>
      </c>
      <c r="H10" s="12" t="n">
        <v>105713</v>
      </c>
      <c r="I10" s="12" t="n">
        <v>60458</v>
      </c>
      <c r="J10" s="12" t="n">
        <v>85081</v>
      </c>
      <c r="K10" s="12" t="n">
        <v>81592</v>
      </c>
      <c r="L10" s="12" t="n">
        <v>1552413.5</v>
      </c>
      <c r="M10" s="12" t="n">
        <v>1555902.5</v>
      </c>
      <c r="N10" s="13" t="n">
        <v>26.1</v>
      </c>
      <c r="O10" s="14" t="n">
        <v>23.8</v>
      </c>
      <c r="P10" s="15" t="n">
        <v>78865</v>
      </c>
      <c r="Q10" s="14">
        <f>IF(G10&gt;0,H10/G10*100,"")</f>
        <v/>
      </c>
      <c r="R10" s="14">
        <f>IF(G10&gt;0,I10/G10*100,"")</f>
        <v/>
      </c>
      <c r="S10" s="14" t="n">
        <v>82</v>
      </c>
      <c r="T10" s="13">
        <f>IF(G10&gt;0,M10/G10,"")</f>
        <v/>
      </c>
      <c r="U10" s="13">
        <f>IF(H10&gt;0,M10/H10,"")</f>
        <v/>
      </c>
    </row>
    <row r="11" ht="32" customHeight="1">
      <c r="A11" s="4" t="inlineStr">
        <is>
          <t>TSLA</t>
        </is>
      </c>
      <c r="B11" s="4" t="inlineStr">
        <is>
          <t>Tesla, Inc.</t>
        </is>
      </c>
      <c r="C11" s="4" t="inlineStr">
        <is>
          <t>United States</t>
        </is>
      </c>
      <c r="D11" s="4" t="inlineStr">
        <is>
          <t>Consumer Cyclical</t>
        </is>
      </c>
      <c r="E11" s="4" t="inlineStr">
        <is>
          <t>Auto Manufacturers</t>
        </is>
      </c>
      <c r="F11" s="5" t="inlineStr">
        <is>
          <t>Tesla, Inc. designs, develops, manufactures, leases, and sells electric vehicles, and energy generation and storage systems in the United States, China, and internationally. The company operates in two segments, Autom...</t>
        </is>
      </c>
      <c r="G11" s="6" t="n">
        <v>94827</v>
      </c>
      <c r="H11" s="6" t="n">
        <v>11764</v>
      </c>
      <c r="I11" s="6" t="n">
        <v>3794</v>
      </c>
      <c r="J11" s="6" t="n">
        <v>14719</v>
      </c>
      <c r="K11" s="6" t="n">
        <v>44059</v>
      </c>
      <c r="L11" s="6" t="n">
        <v>1467951.3</v>
      </c>
      <c r="M11" s="6" t="n">
        <v>1439339.4</v>
      </c>
      <c r="N11" s="7" t="n">
        <v>355.6</v>
      </c>
      <c r="O11" s="8" t="n">
        <v>-3.1</v>
      </c>
      <c r="P11" s="9" t="n">
        <v>134785</v>
      </c>
      <c r="Q11" s="8">
        <f>IF(G11&gt;0,H11/G11*100,"")</f>
        <v/>
      </c>
      <c r="R11" s="8">
        <f>IF(G11&gt;0,I11/G11*100,"")</f>
        <v/>
      </c>
      <c r="S11" s="8" t="n">
        <v>18</v>
      </c>
      <c r="T11" s="7">
        <f>IF(G11&gt;0,M11/G11,"")</f>
        <v/>
      </c>
      <c r="U11" s="7">
        <f>IF(H11&gt;0,M11/H11,"")</f>
        <v/>
      </c>
    </row>
    <row r="12" ht="32" customHeight="1">
      <c r="A12" s="10" t="inlineStr">
        <is>
          <t>AVGO</t>
        </is>
      </c>
      <c r="B12" s="10" t="inlineStr">
        <is>
          <t>Broadcom Inc.</t>
        </is>
      </c>
      <c r="C12" s="10" t="inlineStr">
        <is>
          <t>United States</t>
        </is>
      </c>
      <c r="D12" s="10" t="inlineStr">
        <is>
          <t>Technology</t>
        </is>
      </c>
      <c r="E12" s="10" t="inlineStr">
        <is>
          <t>Semiconductors</t>
        </is>
      </c>
      <c r="F12" s="11" t="inlineStr">
        <is>
          <t>Broadcom Inc. designs, develops, and supplies various semiconductor devices and infrastructure software solutions internationally. The company operates in two segments: Semiconductor Solutions and Infrastructure Softw...</t>
        </is>
      </c>
      <c r="G12" s="12" t="n">
        <v>63887</v>
      </c>
      <c r="H12" s="12" t="n">
        <v>34714</v>
      </c>
      <c r="I12" s="12" t="n">
        <v>24972</v>
      </c>
      <c r="J12" s="12" t="n">
        <v>40457</v>
      </c>
      <c r="K12" s="12" t="n">
        <v>11105</v>
      </c>
      <c r="L12" s="12" t="n">
        <v>1527448.7</v>
      </c>
      <c r="M12" s="12" t="n">
        <v>161786.8</v>
      </c>
      <c r="N12" s="13" t="n">
        <v>62.9</v>
      </c>
      <c r="O12" s="14" t="n">
        <v>16.4</v>
      </c>
      <c r="P12" s="15" t="n">
        <v>33000</v>
      </c>
      <c r="Q12" s="14">
        <f>IF(G12&gt;0,H12/G12*100,"")</f>
        <v/>
      </c>
      <c r="R12" s="14">
        <f>IF(G12&gt;0,I12/G12*100,"")</f>
        <v/>
      </c>
      <c r="S12" s="14" t="n">
        <v>82</v>
      </c>
      <c r="T12" s="13">
        <f>IF(G12&gt;0,M12/G12,"")</f>
        <v/>
      </c>
      <c r="U12" s="13">
        <f>IF(H12&gt;0,M12/H12,"")</f>
        <v/>
      </c>
    </row>
    <row r="13" ht="32" customHeight="1">
      <c r="A13" s="4" t="inlineStr">
        <is>
          <t>ORCL</t>
        </is>
      </c>
      <c r="B13" s="4" t="inlineStr">
        <is>
          <t>Oracle Corporation</t>
        </is>
      </c>
      <c r="C13" s="4" t="inlineStr">
        <is>
          <t>United States</t>
        </is>
      </c>
      <c r="D13" s="4" t="inlineStr">
        <is>
          <t>Technology</t>
        </is>
      </c>
      <c r="E13" s="4" t="inlineStr">
        <is>
          <t>Software - Infrastructure</t>
        </is>
      </c>
      <c r="F13" s="5" t="inlineStr">
        <is>
          <t>Oracle Corporation offers products and services that address enterprise information technology environments worldwide. Its Oracle cloud software as a service offering include various cloud software applications, inclu...</t>
        </is>
      </c>
      <c r="G13" s="6" t="n">
        <v>61017</v>
      </c>
      <c r="H13" s="6" t="n">
        <v>28347</v>
      </c>
      <c r="I13" s="6" t="n">
        <v>16188</v>
      </c>
      <c r="J13" s="6" t="n">
        <v>162165</v>
      </c>
      <c r="K13" s="6" t="n">
        <v>39132</v>
      </c>
      <c r="L13" s="6" t="n">
        <v>445800.3</v>
      </c>
      <c r="M13" s="6" t="n">
        <v>574646.5</v>
      </c>
      <c r="N13" s="7" t="n">
        <v>29.2</v>
      </c>
      <c r="O13" s="8" t="n">
        <v>21.7</v>
      </c>
      <c r="P13" s="9" t="n">
        <v>162000</v>
      </c>
      <c r="Q13" s="8">
        <f>IF(G13&gt;0,H13/G13*100,"")</f>
        <v/>
      </c>
      <c r="R13" s="8">
        <f>IF(G13&gt;0,I13/G13*100,"")</f>
        <v/>
      </c>
      <c r="S13" s="8" t="n">
        <v>70.40000000000001</v>
      </c>
      <c r="T13" s="7">
        <f>IF(G13&gt;0,M13/G13,"")</f>
        <v/>
      </c>
      <c r="U13" s="7">
        <f>IF(H13&gt;0,M13/H13,"")</f>
        <v/>
      </c>
    </row>
    <row r="14" ht="32" customHeight="1">
      <c r="A14" s="10" t="inlineStr">
        <is>
          <t>INTC</t>
        </is>
      </c>
      <c r="B14" s="10" t="inlineStr">
        <is>
          <t>Intel Corporation</t>
        </is>
      </c>
      <c r="C14" s="10" t="inlineStr">
        <is>
          <t>United States</t>
        </is>
      </c>
      <c r="D14" s="10" t="inlineStr">
        <is>
          <t>Technology</t>
        </is>
      </c>
      <c r="E14" s="10" t="inlineStr">
        <is>
          <t>Semiconductors</t>
        </is>
      </c>
      <c r="F14" s="11" t="inlineStr">
        <is>
          <t>Intel Corporation designs, develops, manufactures, markets, sells, and services computing and related end products and services in the United States, Ireland, Israel, and internationally. It operates through three seg...</t>
        </is>
      </c>
      <c r="G14" s="12" t="n">
        <v>52853</v>
      </c>
      <c r="H14" s="12" t="n">
        <v>14354</v>
      </c>
      <c r="I14" s="12" t="n">
        <v>-267</v>
      </c>
      <c r="J14" s="12" t="n">
        <v>47109</v>
      </c>
      <c r="K14" s="12" t="n">
        <v>37416</v>
      </c>
      <c r="L14" s="12" t="n">
        <v>228629.3</v>
      </c>
      <c r="M14" s="12" t="n">
        <v>250393.1</v>
      </c>
      <c r="N14" s="13" t="n">
        <v/>
      </c>
      <c r="O14" s="14" t="n">
        <v>-4.1</v>
      </c>
      <c r="P14" s="15" t="n">
        <v>85100</v>
      </c>
      <c r="Q14" s="14">
        <f>IF(G14&gt;0,H14/G14*100,"")</f>
        <v/>
      </c>
      <c r="R14" s="14">
        <f>IF(G14&gt;0,I14/G14*100,"")</f>
        <v/>
      </c>
      <c r="S14" s="14" t="n">
        <v>36.6</v>
      </c>
      <c r="T14" s="13">
        <f>IF(G14&gt;0,M14/G14,"")</f>
        <v/>
      </c>
      <c r="U14" s="13">
        <f>IF(H14&gt;0,M14/H14,"")</f>
        <v/>
      </c>
    </row>
    <row r="15" ht="32" customHeight="1">
      <c r="A15" s="4" t="inlineStr">
        <is>
          <t>QCOM</t>
        </is>
      </c>
      <c r="B15" s="4" t="inlineStr">
        <is>
          <t>QUALCOMM Incorporated</t>
        </is>
      </c>
      <c r="C15" s="4" t="inlineStr">
        <is>
          <t>United States</t>
        </is>
      </c>
      <c r="D15" s="4" t="inlineStr">
        <is>
          <t>Technology</t>
        </is>
      </c>
      <c r="E15" s="4" t="inlineStr">
        <is>
          <t>Semiconductors</t>
        </is>
      </c>
      <c r="F15" s="5" t="inlineStr">
        <is>
          <t>QUALCOMM Incorporated engages in the development and commercialization of foundational technologies for the wireless industry worldwide. It operates through three segments: Qualcomm CDMA Technologies (QCT); Qualcomm T...</t>
        </is>
      </c>
      <c r="G15" s="6" t="n">
        <v>44867</v>
      </c>
      <c r="H15" s="6" t="n">
        <v>14805</v>
      </c>
      <c r="I15" s="6" t="n">
        <v>5365</v>
      </c>
      <c r="J15" s="6" t="n">
        <v>14817</v>
      </c>
      <c r="K15" s="6" t="n">
        <v>11822</v>
      </c>
      <c r="L15" s="6" t="n">
        <v>138653.6</v>
      </c>
      <c r="M15" s="6" t="n">
        <v>141512.9</v>
      </c>
      <c r="N15" s="7" t="n">
        <v>26.2</v>
      </c>
      <c r="O15" s="8" t="n">
        <v>5</v>
      </c>
      <c r="P15" s="9" t="n">
        <v>52000</v>
      </c>
      <c r="Q15" s="8">
        <f>IF(G15&gt;0,H15/G15*100,"")</f>
        <v/>
      </c>
      <c r="R15" s="8">
        <f>IF(G15&gt;0,I15/G15*100,"")</f>
        <v/>
      </c>
      <c r="S15" s="8" t="n">
        <v>55.1</v>
      </c>
      <c r="T15" s="7">
        <f>IF(G15&gt;0,M15/G15,"")</f>
        <v/>
      </c>
      <c r="U15" s="7">
        <f>IF(H15&gt;0,M15/H15,"")</f>
        <v/>
      </c>
    </row>
    <row r="16" ht="32" customHeight="1">
      <c r="A16" s="10" t="inlineStr">
        <is>
          <t>MU</t>
        </is>
      </c>
      <c r="B16" s="10" t="inlineStr">
        <is>
          <t>Micron Technology, Inc.</t>
        </is>
      </c>
      <c r="C16" s="10" t="inlineStr">
        <is>
          <t>United States</t>
        </is>
      </c>
      <c r="D16" s="10" t="inlineStr">
        <is>
          <t>Technology</t>
        </is>
      </c>
      <c r="E16" s="10" t="inlineStr">
        <is>
          <t>Semiconductors</t>
        </is>
      </c>
      <c r="F16" s="11" t="inlineStr">
        <is>
          <t>Micron Technology, Inc. designs, develops, manufactures, and sells memory and storage products in the United States, Taiwan, Japan, Mainland China, Hong Kong, Europe, and internationally. It operates through the Cloud...</t>
        </is>
      </c>
      <c r="G16" s="12" t="n">
        <v>42312</v>
      </c>
      <c r="H16" s="12" t="n">
        <v>22530</v>
      </c>
      <c r="I16" s="12" t="n">
        <v>11909</v>
      </c>
      <c r="J16" s="12" t="n">
        <v>12493</v>
      </c>
      <c r="K16" s="12" t="n">
        <v>10318</v>
      </c>
      <c r="L16" s="12" t="n">
        <v>479613.3</v>
      </c>
      <c r="M16" s="12" t="n">
        <v>481788.3</v>
      </c>
      <c r="N16" s="13" t="n">
        <v>40.5</v>
      </c>
      <c r="O16" s="14" t="n">
        <v>56.7</v>
      </c>
      <c r="P16" s="15" t="n">
        <v>53000</v>
      </c>
      <c r="Q16" s="14">
        <f>IF(G16&gt;0,H16/G16*100,"")</f>
        <v/>
      </c>
      <c r="R16" s="14">
        <f>IF(G16&gt;0,I16/G16*100,"")</f>
        <v/>
      </c>
      <c r="S16" s="14" t="n">
        <v>45.3</v>
      </c>
      <c r="T16" s="13">
        <f>IF(G16&gt;0,M16/G16,"")</f>
        <v/>
      </c>
      <c r="U16" s="13">
        <f>IF(H16&gt;0,M16/H16,"")</f>
        <v/>
      </c>
    </row>
    <row r="17" ht="32" customHeight="1">
      <c r="A17" s="4" t="inlineStr">
        <is>
          <t>CRM</t>
        </is>
      </c>
      <c r="B17" s="4" t="inlineStr">
        <is>
          <t>Salesforce, Inc.</t>
        </is>
      </c>
      <c r="C17" s="4" t="inlineStr">
        <is>
          <t>United States</t>
        </is>
      </c>
      <c r="D17" s="4" t="inlineStr">
        <is>
          <t>Technology</t>
        </is>
      </c>
      <c r="E17" s="4" t="inlineStr">
        <is>
          <t>Software - Application</t>
        </is>
      </c>
      <c r="F17" s="5" t="inlineStr">
        <is>
          <t>Salesforce, Inc. provides customer relationship management technology services that connect companies and customers together in the United States, Europe, and the Asia Pacific. The company offers Agentforce, which ena...</t>
        </is>
      </c>
      <c r="G17" s="6" t="n">
        <v>41525</v>
      </c>
      <c r="H17" s="6" t="n">
        <v>12548</v>
      </c>
      <c r="I17" s="6" t="n">
        <v>7457</v>
      </c>
      <c r="J17" s="6" t="n">
        <v>17711</v>
      </c>
      <c r="K17" s="6" t="n">
        <v>9565</v>
      </c>
      <c r="L17" s="6" t="n">
        <v>180681.7</v>
      </c>
      <c r="M17" s="6" t="n">
        <v>186128.1</v>
      </c>
      <c r="N17" s="7" t="n">
        <v>24.7</v>
      </c>
      <c r="O17" s="8" t="n">
        <v>12.1</v>
      </c>
      <c r="P17" s="9" t="n">
        <v>83334</v>
      </c>
      <c r="Q17" s="8">
        <f>IF(G17&gt;0,H17/G17*100,"")</f>
        <v/>
      </c>
      <c r="R17" s="8">
        <f>IF(G17&gt;0,I17/G17*100,"")</f>
        <v/>
      </c>
      <c r="S17" s="8" t="n">
        <v>77.7</v>
      </c>
      <c r="T17" s="7">
        <f>IF(G17&gt;0,M17/G17,"")</f>
        <v/>
      </c>
      <c r="U17" s="7">
        <f>IF(H17&gt;0,M17/H17,"")</f>
        <v/>
      </c>
    </row>
    <row r="18" ht="32" customHeight="1">
      <c r="A18" s="10" t="inlineStr">
        <is>
          <t>AMD</t>
        </is>
      </c>
      <c r="B18" s="10" t="inlineStr">
        <is>
          <t>Advanced Micro Devices, Inc.</t>
        </is>
      </c>
      <c r="C18" s="10" t="inlineStr">
        <is>
          <t>United States</t>
        </is>
      </c>
      <c r="D18" s="10" t="inlineStr">
        <is>
          <t>Technology</t>
        </is>
      </c>
      <c r="E18" s="10" t="inlineStr">
        <is>
          <t>Semiconductors</t>
        </is>
      </c>
      <c r="F18" s="11" t="inlineStr">
        <is>
          <t>Advanced Micro Devices, Inc. operates as a semiconductor company internationally. It operates in three segments: Data Center, Client and Gaming, and Embedded. The company offers artificial intelligence (AI) accelerato...</t>
        </is>
      </c>
      <c r="G18" s="12" t="n">
        <v>34639</v>
      </c>
      <c r="H18" s="12" t="n">
        <v>7275</v>
      </c>
      <c r="I18" s="12" t="n">
        <v>4269</v>
      </c>
      <c r="J18" s="12" t="n">
        <v>4006</v>
      </c>
      <c r="K18" s="12" t="n">
        <v>10552</v>
      </c>
      <c r="L18" s="12" t="n">
        <v>315305.2</v>
      </c>
      <c r="M18" s="12" t="n">
        <v>308759.2</v>
      </c>
      <c r="N18" s="13" t="n">
        <v>74.09999999999999</v>
      </c>
      <c r="O18" s="14" t="n">
        <v>34.1</v>
      </c>
      <c r="P18" s="15" t="n">
        <v>31000</v>
      </c>
      <c r="Q18" s="14">
        <f>IF(G18&gt;0,H18/G18*100,"")</f>
        <v/>
      </c>
      <c r="R18" s="14">
        <f>IF(G18&gt;0,I18/G18*100,"")</f>
        <v/>
      </c>
      <c r="S18" s="14" t="n">
        <v>52.5</v>
      </c>
      <c r="T18" s="13">
        <f>IF(G18&gt;0,M18/G18,"")</f>
        <v/>
      </c>
      <c r="U18" s="13">
        <f>IF(H18&gt;0,M18/H18,"")</f>
        <v/>
      </c>
    </row>
    <row r="19" ht="32" customHeight="1">
      <c r="A19" s="4" t="inlineStr">
        <is>
          <t>AMAT</t>
        </is>
      </c>
      <c r="B19" s="4" t="inlineStr">
        <is>
          <t>Applied Materials, Inc.</t>
        </is>
      </c>
      <c r="C19" s="4" t="inlineStr">
        <is>
          <t>United States</t>
        </is>
      </c>
      <c r="D19" s="4" t="inlineStr">
        <is>
          <t>Technology</t>
        </is>
      </c>
      <c r="E19" s="4" t="inlineStr">
        <is>
          <t>Semiconductor Equipment &amp; Materials</t>
        </is>
      </c>
      <c r="F19" s="5" t="inlineStr">
        <is>
          <t>Applied Materials, Inc. provides materials engineering solutions, equipment, services, and software to the semiconductor and related industries in the United States, China, Korea, Taiwan, Japan, Southeast Asia, Europe...</t>
        </is>
      </c>
      <c r="G19" s="6" t="n">
        <v>28214</v>
      </c>
      <c r="H19" s="6" t="n">
        <v>10211</v>
      </c>
      <c r="I19" s="6" t="n">
        <v>7839</v>
      </c>
      <c r="J19" s="6" t="n">
        <v>7190</v>
      </c>
      <c r="K19" s="6" t="n">
        <v>8511</v>
      </c>
      <c r="L19" s="6" t="n">
        <v>271041.6</v>
      </c>
      <c r="M19" s="6" t="n">
        <v>269720.6</v>
      </c>
      <c r="N19" s="7" t="n">
        <v>35.1</v>
      </c>
      <c r="O19" s="8" t="n">
        <v>-2.1</v>
      </c>
      <c r="P19" s="9" t="n">
        <v>35500</v>
      </c>
      <c r="Q19" s="8">
        <f>IF(G19&gt;0,H19/G19*100,"")</f>
        <v/>
      </c>
      <c r="R19" s="8">
        <f>IF(G19&gt;0,I19/G19*100,"")</f>
        <v/>
      </c>
      <c r="S19" s="8" t="n">
        <v>48.7</v>
      </c>
      <c r="T19" s="7">
        <f>IF(G19&gt;0,M19/G19,"")</f>
        <v/>
      </c>
      <c r="U19" s="7">
        <f>IF(H19&gt;0,M19/H19,"")</f>
        <v/>
      </c>
    </row>
    <row r="20" ht="32" customHeight="1">
      <c r="A20" s="10" t="inlineStr">
        <is>
          <t>ADBE</t>
        </is>
      </c>
      <c r="B20" s="10" t="inlineStr">
        <is>
          <t>Adobe Inc.</t>
        </is>
      </c>
      <c r="C20" s="10" t="inlineStr">
        <is>
          <t>United States</t>
        </is>
      </c>
      <c r="D20" s="10" t="inlineStr">
        <is>
          <t>Technology</t>
        </is>
      </c>
      <c r="E20" s="10" t="inlineStr">
        <is>
          <t>Software - Application</t>
        </is>
      </c>
      <c r="F20" s="11" t="inlineStr">
        <is>
          <t>Adobe Inc. operates as a technology company worldwide. The Digital Media segment offers products and services that enable individuals, teams, and enterprises to create, publish, and promote content. This segment serve...</t>
        </is>
      </c>
      <c r="G20" s="12" t="n">
        <v>23769</v>
      </c>
      <c r="H20" s="12" t="n">
        <v>9815</v>
      </c>
      <c r="I20" s="12" t="n">
        <v>7208</v>
      </c>
      <c r="J20" s="12" t="n">
        <v>6656</v>
      </c>
      <c r="K20" s="12" t="n">
        <v>6890</v>
      </c>
      <c r="L20" s="12" t="n">
        <v>102345.9</v>
      </c>
      <c r="M20" s="12" t="n">
        <v>101987.2</v>
      </c>
      <c r="N20" s="13" t="n">
        <v>14.9</v>
      </c>
      <c r="O20" s="14" t="n">
        <v>12</v>
      </c>
      <c r="P20" s="15" t="n">
        <v>31360</v>
      </c>
      <c r="Q20" s="14">
        <f>IF(G20&gt;0,H20/G20*100,"")</f>
        <v/>
      </c>
      <c r="R20" s="14">
        <f>IF(G20&gt;0,I20/G20*100,"")</f>
        <v/>
      </c>
      <c r="S20" s="14" t="n">
        <v>92</v>
      </c>
      <c r="T20" s="13">
        <f>IF(G20&gt;0,M20/G20,"")</f>
        <v/>
      </c>
      <c r="U20" s="13">
        <f>IF(H20&gt;0,M20/H20,"")</f>
        <v/>
      </c>
    </row>
    <row r="21" ht="32" customHeight="1">
      <c r="A21" s="4" t="inlineStr">
        <is>
          <t>LRCX</t>
        </is>
      </c>
      <c r="B21" s="4" t="inlineStr">
        <is>
          <t>Lam Research Corporation</t>
        </is>
      </c>
      <c r="C21" s="4" t="inlineStr">
        <is>
          <t>United States</t>
        </is>
      </c>
      <c r="D21" s="4" t="inlineStr">
        <is>
          <t>Technology</t>
        </is>
      </c>
      <c r="E21" s="4" t="inlineStr">
        <is>
          <t>Semiconductor Equipment &amp; Materials</t>
        </is>
      </c>
      <c r="F21" s="5" t="inlineStr">
        <is>
          <t>Lam Research Corporation designs, manufactures, markets, refurbishes, and services semiconductor processing equipment used in the fabrication of integrated circuits in the United States, China, Korea, Taiwan, Japan, S...</t>
        </is>
      </c>
      <c r="G21" s="6" t="n">
        <v>20560.5</v>
      </c>
      <c r="H21" s="6" t="n">
        <v>7584.1</v>
      </c>
      <c r="I21" s="6" t="n">
        <v>6213.4</v>
      </c>
      <c r="J21" s="6" t="n">
        <v>4483.7</v>
      </c>
      <c r="K21" s="6" t="n">
        <v>6180.4</v>
      </c>
      <c r="L21" s="6" t="n">
        <v>266529.6</v>
      </c>
      <c r="M21" s="6" t="n">
        <v>263292.5</v>
      </c>
      <c r="N21" s="7" t="n">
        <v>43.5</v>
      </c>
      <c r="O21" s="8" t="n">
        <v>22.1</v>
      </c>
      <c r="P21" s="9" t="n">
        <v>19700</v>
      </c>
      <c r="Q21" s="8">
        <f>IF(G21&gt;0,H21/G21*100,"")</f>
        <v/>
      </c>
      <c r="R21" s="8">
        <f>IF(G21&gt;0,I21/G21*100,"")</f>
        <v/>
      </c>
      <c r="S21" s="8" t="n">
        <v>49.8</v>
      </c>
      <c r="T21" s="7">
        <f>IF(G21&gt;0,M21/G21,"")</f>
        <v/>
      </c>
      <c r="U21" s="7">
        <f>IF(H21&gt;0,M21/H21,"")</f>
        <v/>
      </c>
    </row>
    <row r="22" ht="32" customHeight="1">
      <c r="A22" s="10" t="inlineStr">
        <is>
          <t>TXN</t>
        </is>
      </c>
      <c r="B22" s="10" t="inlineStr">
        <is>
          <t>Texas Instruments Incorporated</t>
        </is>
      </c>
      <c r="C22" s="10" t="inlineStr">
        <is>
          <t>United States</t>
        </is>
      </c>
      <c r="D22" s="10" t="inlineStr">
        <is>
          <t>Technology</t>
        </is>
      </c>
      <c r="E22" s="10" t="inlineStr">
        <is>
          <t>Semiconductors</t>
        </is>
      </c>
      <c r="F22" s="11" t="inlineStr">
        <is>
          <t>Texas Instruments Incorporated designs, manufactures, and sells semiconductors to electronics designers and manufacturers in the United States, China, the rest of Asia, Europe, the Middle East, Africa, Japan, and inte...</t>
        </is>
      </c>
      <c r="G22" s="12" t="n">
        <v>17682</v>
      </c>
      <c r="H22" s="12" t="n">
        <v>8252</v>
      </c>
      <c r="I22" s="12" t="n">
        <v>4973</v>
      </c>
      <c r="J22" s="12" t="n">
        <v>14779</v>
      </c>
      <c r="K22" s="12" t="n">
        <v>4881</v>
      </c>
      <c r="L22" s="12" t="n">
        <v>173698.2</v>
      </c>
      <c r="M22" s="12" t="n">
        <v>183040.5</v>
      </c>
      <c r="N22" s="13" t="n">
        <v>34.9</v>
      </c>
      <c r="O22" s="14" t="n">
        <v>10.4</v>
      </c>
      <c r="P22" s="15" t="n">
        <v>33000</v>
      </c>
      <c r="Q22" s="14">
        <f>IF(G22&gt;0,H22/G22*100,"")</f>
        <v/>
      </c>
      <c r="R22" s="14">
        <f>IF(G22&gt;0,I22/G22*100,"")</f>
        <v/>
      </c>
      <c r="S22" s="14" t="n">
        <v>57</v>
      </c>
      <c r="T22" s="13">
        <f>IF(G22&gt;0,M22/G22,"")</f>
        <v/>
      </c>
      <c r="U22" s="13">
        <f>IF(H22&gt;0,M22/H22,"")</f>
        <v/>
      </c>
    </row>
    <row r="23" ht="32" customHeight="1">
      <c r="A23" s="4" t="inlineStr">
        <is>
          <t>NOW</t>
        </is>
      </c>
      <c r="B23" s="4" t="inlineStr">
        <is>
          <t>ServiceNow, Inc.</t>
        </is>
      </c>
      <c r="C23" s="4" t="inlineStr">
        <is>
          <t>United States</t>
        </is>
      </c>
      <c r="D23" s="4" t="inlineStr">
        <is>
          <t>Technology</t>
        </is>
      </c>
      <c r="E23" s="4" t="inlineStr">
        <is>
          <t>Software - Application</t>
        </is>
      </c>
      <c r="F23" s="5" t="inlineStr">
        <is>
          <t>ServiceNow, Inc. provides cloud-based solution for digital workflows in the North America, Europe, the Middle East and Africa, Asia Pacific, and internationally. The company provides asset management, integrated risk ...</t>
        </is>
      </c>
      <c r="G23" s="6" t="n">
        <v>13278</v>
      </c>
      <c r="H23" s="6" t="n">
        <v>3022</v>
      </c>
      <c r="I23" s="6" t="n">
        <v>1748</v>
      </c>
      <c r="J23" s="6" t="n">
        <v>2403</v>
      </c>
      <c r="K23" s="6" t="n">
        <v>6284</v>
      </c>
      <c r="L23" s="6" t="n">
        <v>119885.3</v>
      </c>
      <c r="M23" s="6" t="n">
        <v>114965.5</v>
      </c>
      <c r="N23" s="7" t="n">
        <v>68</v>
      </c>
      <c r="O23" s="8" t="n">
        <v>20.7</v>
      </c>
      <c r="P23" s="9" t="n">
        <v>29187</v>
      </c>
      <c r="Q23" s="8">
        <f>IF(G23&gt;0,H23/G23*100,"")</f>
        <v/>
      </c>
      <c r="R23" s="8">
        <f>IF(G23&gt;0,I23/G23*100,"")</f>
        <v/>
      </c>
      <c r="S23" s="8" t="n">
        <v>77.5</v>
      </c>
      <c r="T23" s="7">
        <f>IF(G23&gt;0,M23/G23,"")</f>
        <v/>
      </c>
      <c r="U23" s="7">
        <f>IF(H23&gt;0,M23/H23,"")</f>
        <v/>
      </c>
    </row>
    <row r="24" ht="32" customHeight="1">
      <c r="A24" s="10" t="inlineStr">
        <is>
          <t>KLAC</t>
        </is>
      </c>
      <c r="B24" s="10" t="inlineStr">
        <is>
          <t>KLA Corporation</t>
        </is>
      </c>
      <c r="C24" s="10" t="inlineStr">
        <is>
          <t>United States</t>
        </is>
      </c>
      <c r="D24" s="10" t="inlineStr">
        <is>
          <t>Technology</t>
        </is>
      </c>
      <c r="E24" s="10" t="inlineStr">
        <is>
          <t>Semiconductor Equipment &amp; Materials</t>
        </is>
      </c>
      <c r="F24" s="11" t="inlineStr">
        <is>
          <t>KLA Corporation, together with its subsidiaries, designs, manufactures, and markets process control, process-enabling, and yield management solutions for the semiconductor and related electronics industries worldwide....</t>
        </is>
      </c>
      <c r="G24" s="12" t="n">
        <v>12744.6</v>
      </c>
      <c r="H24" s="12" t="n">
        <v>5909.4</v>
      </c>
      <c r="I24" s="12" t="n">
        <v>4558</v>
      </c>
      <c r="J24" s="12" t="n">
        <v>6109.5</v>
      </c>
      <c r="K24" s="12" t="n">
        <v>5207.5</v>
      </c>
      <c r="L24" s="12" t="n">
        <v>186398.4</v>
      </c>
      <c r="M24" s="12" t="n">
        <v>186852.5</v>
      </c>
      <c r="N24" s="13" t="n">
        <v>41.3</v>
      </c>
      <c r="O24" s="14" t="n">
        <v>7.2</v>
      </c>
      <c r="P24" s="15" t="n">
        <v>15000</v>
      </c>
      <c r="Q24" s="14">
        <f>IF(G24&gt;0,H24/G24*100,"")</f>
        <v/>
      </c>
      <c r="R24" s="14">
        <f>IF(G24&gt;0,I24/G24*100,"")</f>
        <v/>
      </c>
      <c r="S24" s="14" t="n">
        <v>61.6</v>
      </c>
      <c r="T24" s="13">
        <f>IF(G24&gt;0,M24/G24,"")</f>
        <v/>
      </c>
      <c r="U24" s="13">
        <f>IF(H24&gt;0,M24/H24,"")</f>
        <v/>
      </c>
    </row>
    <row r="25" ht="32" customHeight="1">
      <c r="A25" s="4" t="inlineStr">
        <is>
          <t>ADI</t>
        </is>
      </c>
      <c r="B25" s="4" t="inlineStr">
        <is>
          <t>Analog Devices, Inc.</t>
        </is>
      </c>
      <c r="C25" s="4" t="inlineStr">
        <is>
          <t>United States</t>
        </is>
      </c>
      <c r="D25" s="4" t="inlineStr">
        <is>
          <t>Technology</t>
        </is>
      </c>
      <c r="E25" s="4" t="inlineStr">
        <is>
          <t>Semiconductors</t>
        </is>
      </c>
      <c r="F25" s="5" t="inlineStr">
        <is>
          <t>Analog Devices, Inc. engages in the design, manufacture, testing, and marketing of integrated circuits (ICs), software, and subsystems products in the United States, rest of North and South America, Europe, Japan, Chi...</t>
        </is>
      </c>
      <c r="G25" s="6" t="n">
        <v>11756.8</v>
      </c>
      <c r="H25" s="6" t="n">
        <v>5524.9</v>
      </c>
      <c r="I25" s="6" t="n">
        <v>2706.9</v>
      </c>
      <c r="J25" s="6" t="n">
        <v>8701.1</v>
      </c>
      <c r="K25" s="6" t="n">
        <v>4048.8</v>
      </c>
      <c r="L25" s="6" t="n">
        <v>149424.7</v>
      </c>
      <c r="M25" s="6" t="n">
        <v>154076.9</v>
      </c>
      <c r="N25" s="7" t="n">
        <v>55.9</v>
      </c>
      <c r="O25" s="8" t="n">
        <v>30.4</v>
      </c>
      <c r="P25" s="9" t="n">
        <v>24500</v>
      </c>
      <c r="Q25" s="8">
        <f>IF(G25&gt;0,H25/G25*100,"")</f>
        <v/>
      </c>
      <c r="R25" s="8">
        <f>IF(G25&gt;0,I25/G25*100,"")</f>
        <v/>
      </c>
      <c r="S25" s="8" t="n">
        <v>62.8</v>
      </c>
      <c r="T25" s="7">
        <f>IF(G25&gt;0,M25/G25,"")</f>
        <v/>
      </c>
      <c r="U25" s="7">
        <f>IF(H25&gt;0,M25/H25,"")</f>
        <v/>
      </c>
    </row>
    <row r="26" ht="32" customHeight="1">
      <c r="A26" s="10" t="inlineStr">
        <is>
          <t>WDAY</t>
        </is>
      </c>
      <c r="B26" s="10" t="inlineStr">
        <is>
          <t>Workday, Inc.</t>
        </is>
      </c>
      <c r="C26" s="10" t="inlineStr">
        <is>
          <t>United States</t>
        </is>
      </c>
      <c r="D26" s="10" t="inlineStr">
        <is>
          <t>Technology</t>
        </is>
      </c>
      <c r="E26" s="10" t="inlineStr">
        <is>
          <t>Software - Application</t>
        </is>
      </c>
      <c r="F26" s="11" t="inlineStr">
        <is>
          <t>Workday, Inc. provides enterprise cloud applications in the United States and internationally. The company offers a suite of financial management applications to maintain accounting information; manage financial proce...</t>
        </is>
      </c>
      <c r="G26" s="12" t="n">
        <v>9231</v>
      </c>
      <c r="H26" s="12" t="n">
        <v>1321</v>
      </c>
      <c r="I26" s="12" t="n">
        <v>693</v>
      </c>
      <c r="J26" s="12" t="n">
        <v>3821</v>
      </c>
      <c r="K26" s="12" t="n">
        <v>5443</v>
      </c>
      <c r="L26" s="12" t="n">
        <v>35535</v>
      </c>
      <c r="M26" s="12" t="n">
        <v>32582.1</v>
      </c>
      <c r="N26" s="13" t="n">
        <v>51.2</v>
      </c>
      <c r="O26" s="14" t="n">
        <v>14.5</v>
      </c>
      <c r="P26" s="15" t="n">
        <v>21070</v>
      </c>
      <c r="Q26" s="14">
        <f>IF(G26&gt;0,H26/G26*100,"")</f>
        <v/>
      </c>
      <c r="R26" s="14">
        <f>IF(G26&gt;0,I26/G26*100,"")</f>
        <v/>
      </c>
      <c r="S26" s="14" t="n">
        <v>78.3</v>
      </c>
      <c r="T26" s="13">
        <f>IF(G26&gt;0,M26/G26,"")</f>
        <v/>
      </c>
      <c r="U26" s="13">
        <f>IF(H26&gt;0,M26/H26,"")</f>
        <v/>
      </c>
    </row>
    <row r="27" ht="32" customHeight="1">
      <c r="A27" s="4" t="inlineStr">
        <is>
          <t>SNPS</t>
        </is>
      </c>
      <c r="B27" s="4" t="inlineStr">
        <is>
          <t>Synopsys, Inc.</t>
        </is>
      </c>
      <c r="C27" s="4" t="inlineStr">
        <is>
          <t>United States</t>
        </is>
      </c>
      <c r="D27" s="4" t="inlineStr">
        <is>
          <t>Technology</t>
        </is>
      </c>
      <c r="E27" s="4" t="inlineStr">
        <is>
          <t>Software - Infrastructure</t>
        </is>
      </c>
      <c r="F27" s="5" t="inlineStr">
        <is>
          <t>Synopsys, Inc. provides design IP solutions in the semiconductor and electronics industries. It operates in two segments, Design Automation and Design IP. The company offers Digital and Custom IC Design solution that ...</t>
        </is>
      </c>
      <c r="G27" s="6" t="n">
        <v>8007.7</v>
      </c>
      <c r="H27" s="6" t="n">
        <v>2842.6</v>
      </c>
      <c r="I27" s="6" t="n">
        <v>1105.4</v>
      </c>
      <c r="J27" s="6" t="n">
        <v>10868.6</v>
      </c>
      <c r="K27" s="6" t="n">
        <v>2203.5</v>
      </c>
      <c r="L27" s="6" t="n">
        <v>79044.2</v>
      </c>
      <c r="M27" s="6" t="n">
        <v>87708.5</v>
      </c>
      <c r="N27" s="7" t="n">
        <v>63.3</v>
      </c>
      <c r="O27" s="8" t="n">
        <v>65.5</v>
      </c>
      <c r="P27" s="9" t="n">
        <v>28000</v>
      </c>
      <c r="Q27" s="8">
        <f>IF(G27&gt;0,H27/G27*100,"")</f>
        <v/>
      </c>
      <c r="R27" s="8">
        <f>IF(G27&gt;0,I27/G27*100,"")</f>
        <v/>
      </c>
      <c r="S27" s="8" t="n">
        <v>82</v>
      </c>
      <c r="T27" s="7">
        <f>IF(G27&gt;0,M27/G27,"")</f>
        <v/>
      </c>
      <c r="U27" s="7">
        <f>IF(H27&gt;0,M27/H27,"")</f>
        <v/>
      </c>
    </row>
    <row r="28" ht="32" customHeight="1">
      <c r="A28" s="10" t="inlineStr">
        <is>
          <t>MRVL</t>
        </is>
      </c>
      <c r="B28" s="10" t="inlineStr">
        <is>
          <t>Marvell Technology, Inc.</t>
        </is>
      </c>
      <c r="C28" s="10" t="inlineStr">
        <is>
          <t>United States</t>
        </is>
      </c>
      <c r="D28" s="10" t="inlineStr">
        <is>
          <t>Technology</t>
        </is>
      </c>
      <c r="E28" s="10" t="inlineStr">
        <is>
          <t>Semiconductors</t>
        </is>
      </c>
      <c r="F28" s="11" t="inlineStr">
        <is>
          <t>Marvell Technology, Inc., together with its subsidiaries, provides data infrastructure semiconductor solutions and spanning the data center core to network edge in the United States, Argentina, China, India, Israel, J...</t>
        </is>
      </c>
      <c r="G28" s="12" t="n">
        <v>7793.3</v>
      </c>
      <c r="H28" s="12" t="n">
        <v>4371.6</v>
      </c>
      <c r="I28" s="12" t="n">
        <v>2670.1</v>
      </c>
      <c r="J28" s="12" t="n">
        <v>4790.3</v>
      </c>
      <c r="K28" s="12" t="n">
        <v>2638.8</v>
      </c>
      <c r="L28" s="12" t="n">
        <v>76741.3</v>
      </c>
      <c r="M28" s="12" t="n">
        <v>78967.5</v>
      </c>
      <c r="N28" s="13" t="n">
        <v>28.6</v>
      </c>
      <c r="O28" s="14" t="n">
        <v>22.1</v>
      </c>
      <c r="P28" s="15" t="n">
        <v>7480</v>
      </c>
      <c r="Q28" s="14">
        <f>IF(G28&gt;0,H28/G28*100,"")</f>
        <v/>
      </c>
      <c r="R28" s="14">
        <f>IF(G28&gt;0,I28/G28*100,"")</f>
        <v/>
      </c>
      <c r="S28" s="14" t="n">
        <v>53.7</v>
      </c>
      <c r="T28" s="13">
        <f>IF(G28&gt;0,M28/G28,"")</f>
        <v/>
      </c>
      <c r="U28" s="13">
        <f>IF(H28&gt;0,M28/H28,"")</f>
        <v/>
      </c>
    </row>
    <row r="29" ht="32" customHeight="1">
      <c r="A29" s="4" t="inlineStr">
        <is>
          <t>CDNS</t>
        </is>
      </c>
      <c r="B29" s="4" t="inlineStr">
        <is>
          <t>Cadence Design Systems, Inc.</t>
        </is>
      </c>
      <c r="C29" s="4" t="inlineStr">
        <is>
          <t>United States</t>
        </is>
      </c>
      <c r="D29" s="4" t="inlineStr">
        <is>
          <t>Technology</t>
        </is>
      </c>
      <c r="E29" s="4" t="inlineStr">
        <is>
          <t>Software - Application</t>
        </is>
      </c>
      <c r="F29" s="5" t="inlineStr">
        <is>
          <t>Cadence Design Systems, Inc. develops computational, AI-driven software, hardware, and silicon intellectual property (IP) products and solutions. The company offers functional verification services, such as Jasper, a ...</t>
        </is>
      </c>
      <c r="G29" s="6" t="n">
        <v>5296.8</v>
      </c>
      <c r="H29" s="6" t="n">
        <v>1872.4</v>
      </c>
      <c r="I29" s="6" t="n">
        <v>1108.9</v>
      </c>
      <c r="J29" s="6" t="n">
        <v>2666.3</v>
      </c>
      <c r="K29" s="6" t="n">
        <v>3155.5</v>
      </c>
      <c r="L29" s="6" t="n">
        <v>79184.5</v>
      </c>
      <c r="M29" s="6" t="n">
        <v>77769.8</v>
      </c>
      <c r="N29" s="7" t="n">
        <v>70.90000000000001</v>
      </c>
      <c r="O29" s="8" t="n">
        <v>6.2</v>
      </c>
      <c r="P29" s="9" t="n">
        <v>13800</v>
      </c>
      <c r="Q29" s="8">
        <f>IF(G29&gt;0,H29/G29*100,"")</f>
        <v/>
      </c>
      <c r="R29" s="8">
        <f>IF(G29&gt;0,I29/G29*100,"")</f>
        <v/>
      </c>
      <c r="S29" s="8" t="n">
        <v>86.40000000000001</v>
      </c>
      <c r="T29" s="7">
        <f>IF(G29&gt;0,M29/G29,"")</f>
        <v/>
      </c>
      <c r="U29" s="7">
        <f>IF(H29&gt;0,M29/H29,"")</f>
        <v/>
      </c>
    </row>
    <row r="32">
      <c r="A32" s="16" t="inlineStr">
        <is>
          <t>Mediana</t>
        </is>
      </c>
      <c r="G32" s="17">
        <f>MEDIAN(G5:G29)</f>
        <v/>
      </c>
      <c r="H32" s="17">
        <f>MEDIAN(H5:H29)</f>
        <v/>
      </c>
      <c r="I32" s="17">
        <f>MEDIAN(I5:I29)</f>
        <v/>
      </c>
      <c r="L32" s="17">
        <f>MEDIAN(L5:L29)</f>
        <v/>
      </c>
      <c r="M32" s="17">
        <f>MEDIAN(M5:M29)</f>
        <v/>
      </c>
      <c r="N32" s="18">
        <f>MEDIAN(N5:N29)</f>
        <v/>
      </c>
      <c r="O32" s="19">
        <f>MEDIAN(O5:O29)</f>
        <v/>
      </c>
      <c r="Q32" s="19">
        <f>MEDIAN(Q5:Q29)</f>
        <v/>
      </c>
      <c r="R32" s="19">
        <f>MEDIAN(R5:R29)</f>
        <v/>
      </c>
      <c r="S32" s="19">
        <f>MEDIAN(S5:S29)</f>
        <v/>
      </c>
      <c r="T32" s="18">
        <f>MEDIAN(T5:T29)</f>
        <v/>
      </c>
      <c r="U32" s="18">
        <f>MEDIAN(U5:U29)</f>
        <v/>
      </c>
    </row>
    <row r="33">
      <c r="A33" s="16" t="inlineStr">
        <is>
          <t>Promedio</t>
        </is>
      </c>
      <c r="G33" s="17">
        <f>AVERAGE(G5:G29)</f>
        <v/>
      </c>
      <c r="H33" s="17">
        <f>AVERAGE(H5:H29)</f>
        <v/>
      </c>
      <c r="I33" s="17">
        <f>AVERAGE(I5:I29)</f>
        <v/>
      </c>
      <c r="L33" s="17">
        <f>AVERAGE(L5:L29)</f>
        <v/>
      </c>
      <c r="M33" s="17">
        <f>AVERAGE(M5:M29)</f>
        <v/>
      </c>
      <c r="N33" s="18">
        <f>AVERAGE(N5:N29)</f>
        <v/>
      </c>
      <c r="O33" s="19">
        <f>AVERAGE(O5:O29)</f>
        <v/>
      </c>
      <c r="Q33" s="19">
        <f>AVERAGE(Q5:Q29)</f>
        <v/>
      </c>
      <c r="R33" s="19">
        <f>AVERAGE(R5:R29)</f>
        <v/>
      </c>
      <c r="S33" s="19">
        <f>AVERAGE(S5:S29)</f>
        <v/>
      </c>
      <c r="T33" s="18">
        <f>AVERAGE(T5:T29)</f>
        <v/>
      </c>
      <c r="U33" s="18">
        <f>AVERAGE(U5:U29)</f>
        <v/>
      </c>
    </row>
  </sheetData>
  <mergeCells count="2">
    <mergeCell ref="A1:U1"/>
    <mergeCell ref="A2:U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9"/>
  <sheetViews>
    <sheetView showGridLines="0" workbookViewId="0">
      <pane ySplit="7" topLeftCell="A8" activePane="bottomLeft" state="frozen"/>
      <selection pane="bottomLeft" activeCell="A1" sqref="A1"/>
    </sheetView>
  </sheetViews>
  <sheetFormatPr baseColWidth="8" defaultRowHeight="15"/>
  <cols>
    <col width="9" customWidth="1" min="1" max="1"/>
    <col width="30" customWidth="1" min="2" max="2"/>
    <col width="14" customWidth="1" min="3" max="3"/>
    <col width="18" customWidth="1" min="4" max="4"/>
    <col width="24" customWidth="1" min="5" max="5"/>
    <col width="60" customWidth="1" min="6" max="6"/>
    <col width="15" customWidth="1" min="7" max="7"/>
    <col width="14" customWidth="1" min="8" max="8"/>
    <col width="14" customWidth="1" min="9" max="9"/>
    <col width="13" customWidth="1" min="10" max="10"/>
    <col width="13" customWidth="1" min="11" max="11"/>
    <col width="15" customWidth="1" min="12" max="12"/>
    <col width="14" customWidth="1" min="13" max="13"/>
    <col width="9" customWidth="1" min="14" max="14"/>
    <col width="13" customWidth="1" min="15" max="15"/>
    <col width="13" customWidth="1" min="16" max="16"/>
    <col width="13" customWidth="1" min="17" max="17"/>
    <col width="12" customWidth="1" min="18" max="18"/>
    <col width="13" customWidth="1" min="19" max="19"/>
    <col width="13" customWidth="1" min="20" max="20"/>
    <col width="13" customWidth="1" min="21" max="21"/>
  </cols>
  <sheetData>
    <row r="1" ht="20" customHeight="1">
      <c r="A1" s="20" t="inlineStr">
        <is>
          <t>PARÁMETROS DEL DEAL</t>
        </is>
      </c>
    </row>
    <row r="2">
      <c r="A2" s="21" t="inlineStr">
        <is>
          <t>Revenue Target ($mm)</t>
        </is>
      </c>
      <c r="B2" s="22" t="n">
        <v>14000</v>
      </c>
    </row>
    <row r="3">
      <c r="A3" s="21" t="inlineStr">
        <is>
          <t>Rango mínimo (%)</t>
        </is>
      </c>
      <c r="B3" s="23" t="n">
        <v>30</v>
      </c>
    </row>
    <row r="4">
      <c r="A4" s="21" t="inlineStr">
        <is>
          <t>Rango máximo (%)</t>
        </is>
      </c>
      <c r="B4" s="23" t="n">
        <v>300</v>
      </c>
    </row>
    <row r="5" ht="8" customHeight="1"/>
    <row r="6" ht="14" customHeight="1">
      <c r="A6" s="2" t="inlineStr">
        <is>
          <t>Empresas con revenue entre $B$2*(B3/100) y $B$2*(B4/100) — modificá B2:B4 para cambiar el filtro</t>
        </is>
      </c>
    </row>
    <row r="7" ht="30" customHeight="1">
      <c r="A7" s="3" t="inlineStr">
        <is>
          <t>Ticker</t>
        </is>
      </c>
      <c r="B7" s="3" t="inlineStr">
        <is>
          <t>Empresa</t>
        </is>
      </c>
      <c r="C7" s="3" t="inlineStr">
        <is>
          <t>País</t>
        </is>
      </c>
      <c r="D7" s="3" t="inlineStr">
        <is>
          <t>Sector</t>
        </is>
      </c>
      <c r="E7" s="3" t="inlineStr">
        <is>
          <t>Industria</t>
        </is>
      </c>
      <c r="F7" s="3" t="inlineStr">
        <is>
          <t>Descripción</t>
        </is>
      </c>
      <c r="G7" s="3" t="inlineStr">
        <is>
          <t>Revenue ($mm)</t>
        </is>
      </c>
      <c r="H7" s="3" t="inlineStr">
        <is>
          <t>EBITDA ($mm)</t>
        </is>
      </c>
      <c r="I7" s="3" t="inlineStr">
        <is>
          <t>Net Inc ($mm)</t>
        </is>
      </c>
      <c r="J7" s="3" t="inlineStr">
        <is>
          <t>Deuda ($mm)</t>
        </is>
      </c>
      <c r="K7" s="3" t="inlineStr">
        <is>
          <t>Cash ($mm)</t>
        </is>
      </c>
      <c r="L7" s="3" t="inlineStr">
        <is>
          <t>Mkt Cap ($mm)</t>
        </is>
      </c>
      <c r="M7" s="3" t="inlineStr">
        <is>
          <t>EV ($mm)</t>
        </is>
      </c>
      <c r="N7" s="3" t="inlineStr">
        <is>
          <t>P/E</t>
        </is>
      </c>
      <c r="O7" s="3" t="inlineStr">
        <is>
          <t>Rev Growth %</t>
        </is>
      </c>
      <c r="P7" s="3" t="inlineStr">
        <is>
          <t>Empleados</t>
        </is>
      </c>
      <c r="Q7" s="3" t="inlineStr">
        <is>
          <t>EBITDA Mg%</t>
        </is>
      </c>
      <c r="R7" s="3" t="inlineStr">
        <is>
          <t>Net Mg%</t>
        </is>
      </c>
      <c r="S7" s="3" t="inlineStr">
        <is>
          <t>Gross Mg%</t>
        </is>
      </c>
      <c r="T7" s="3" t="inlineStr">
        <is>
          <t>EV/Revenue</t>
        </is>
      </c>
      <c r="U7" s="3" t="inlineStr">
        <is>
          <t>EV/EBITDA</t>
        </is>
      </c>
    </row>
    <row r="8" ht="42" customHeight="1">
      <c r="A8" s="10" t="inlineStr">
        <is>
          <t>CRM</t>
        </is>
      </c>
      <c r="B8" s="10" t="inlineStr">
        <is>
          <t>Salesforce, Inc.</t>
        </is>
      </c>
      <c r="C8" s="10" t="inlineStr">
        <is>
          <t>United States</t>
        </is>
      </c>
      <c r="D8" s="10" t="inlineStr">
        <is>
          <t>Technology</t>
        </is>
      </c>
      <c r="E8" s="10" t="inlineStr">
        <is>
          <t>Software - Application</t>
        </is>
      </c>
      <c r="F8" s="11" t="inlineStr">
        <is>
          <t>Salesforce, Inc. provides customer relationship management technology services that connect companies and customers together in the United States, Europe, and the Asia Pacific. The company offers Agentforce, which ena...</t>
        </is>
      </c>
      <c r="G8" s="12" t="n">
        <v>41525</v>
      </c>
      <c r="H8" s="12" t="n">
        <v>12548</v>
      </c>
      <c r="I8" s="12" t="n">
        <v>7457</v>
      </c>
      <c r="J8" s="12" t="n">
        <v>17711</v>
      </c>
      <c r="K8" s="12" t="n">
        <v>9565</v>
      </c>
      <c r="L8" s="12" t="n">
        <v>180681.7</v>
      </c>
      <c r="M8" s="12" t="n">
        <v>186128.1</v>
      </c>
      <c r="N8" s="13" t="n">
        <v>24.7</v>
      </c>
      <c r="O8" s="14" t="n">
        <v>12.1</v>
      </c>
      <c r="P8" s="15" t="n">
        <v>83334</v>
      </c>
      <c r="Q8" s="14">
        <f>IF(G8&gt;0,H8/G8*100,"")</f>
        <v/>
      </c>
      <c r="R8" s="14">
        <f>IF(G8&gt;0,I8/G8*100,"")</f>
        <v/>
      </c>
      <c r="S8" s="14" t="n">
        <v>77.7</v>
      </c>
      <c r="T8" s="13">
        <f>IF(G8&gt;0,M8/G8,"")</f>
        <v/>
      </c>
      <c r="U8" s="13">
        <f>IF(H8&gt;0,M8/H8,"")</f>
        <v/>
      </c>
    </row>
    <row r="9" ht="42" customHeight="1">
      <c r="A9" s="4" t="inlineStr">
        <is>
          <t>AMD</t>
        </is>
      </c>
      <c r="B9" s="4" t="inlineStr">
        <is>
          <t>Advanced Micro Devices, Inc.</t>
        </is>
      </c>
      <c r="C9" s="4" t="inlineStr">
        <is>
          <t>United States</t>
        </is>
      </c>
      <c r="D9" s="4" t="inlineStr">
        <is>
          <t>Technology</t>
        </is>
      </c>
      <c r="E9" s="4" t="inlineStr">
        <is>
          <t>Semiconductors</t>
        </is>
      </c>
      <c r="F9" s="5" t="inlineStr">
        <is>
          <t>Advanced Micro Devices, Inc. operates as a semiconductor company internationally. It operates in three segments: Data Center, Client and Gaming, and Embedded. The company offers artificial intelligence (AI) accelerato...</t>
        </is>
      </c>
      <c r="G9" s="6" t="n">
        <v>34639</v>
      </c>
      <c r="H9" s="6" t="n">
        <v>7275</v>
      </c>
      <c r="I9" s="6" t="n">
        <v>4269</v>
      </c>
      <c r="J9" s="6" t="n">
        <v>4006</v>
      </c>
      <c r="K9" s="6" t="n">
        <v>10552</v>
      </c>
      <c r="L9" s="6" t="n">
        <v>315305.2</v>
      </c>
      <c r="M9" s="6" t="n">
        <v>308759.2</v>
      </c>
      <c r="N9" s="7" t="n">
        <v>74.09999999999999</v>
      </c>
      <c r="O9" s="8" t="n">
        <v>34.1</v>
      </c>
      <c r="P9" s="9" t="n">
        <v>31000</v>
      </c>
      <c r="Q9" s="8">
        <f>IF(G9&gt;0,H9/G9*100,"")</f>
        <v/>
      </c>
      <c r="R9" s="8">
        <f>IF(G9&gt;0,I9/G9*100,"")</f>
        <v/>
      </c>
      <c r="S9" s="8" t="n">
        <v>52.5</v>
      </c>
      <c r="T9" s="7">
        <f>IF(G9&gt;0,M9/G9,"")</f>
        <v/>
      </c>
      <c r="U9" s="7">
        <f>IF(H9&gt;0,M9/H9,"")</f>
        <v/>
      </c>
    </row>
    <row r="10" ht="42" customHeight="1">
      <c r="A10" s="10" t="inlineStr">
        <is>
          <t>AMAT</t>
        </is>
      </c>
      <c r="B10" s="10" t="inlineStr">
        <is>
          <t>Applied Materials, Inc.</t>
        </is>
      </c>
      <c r="C10" s="10" t="inlineStr">
        <is>
          <t>United States</t>
        </is>
      </c>
      <c r="D10" s="10" t="inlineStr">
        <is>
          <t>Technology</t>
        </is>
      </c>
      <c r="E10" s="10" t="inlineStr">
        <is>
          <t>Semiconductor Equipment &amp; Materials</t>
        </is>
      </c>
      <c r="F10" s="11" t="inlineStr">
        <is>
          <t>Applied Materials, Inc. provides materials engineering solutions, equipment, services, and software to the semiconductor and related industries in the United States, China, Korea, Taiwan, Japan, Southeast Asia, Europe...</t>
        </is>
      </c>
      <c r="G10" s="12" t="n">
        <v>28214</v>
      </c>
      <c r="H10" s="12" t="n">
        <v>10211</v>
      </c>
      <c r="I10" s="12" t="n">
        <v>7839</v>
      </c>
      <c r="J10" s="12" t="n">
        <v>7190</v>
      </c>
      <c r="K10" s="12" t="n">
        <v>8511</v>
      </c>
      <c r="L10" s="12" t="n">
        <v>271041.6</v>
      </c>
      <c r="M10" s="12" t="n">
        <v>269720.6</v>
      </c>
      <c r="N10" s="13" t="n">
        <v>35.1</v>
      </c>
      <c r="O10" s="14" t="n">
        <v>-2.1</v>
      </c>
      <c r="P10" s="15" t="n">
        <v>35500</v>
      </c>
      <c r="Q10" s="14">
        <f>IF(G10&gt;0,H10/G10*100,"")</f>
        <v/>
      </c>
      <c r="R10" s="14">
        <f>IF(G10&gt;0,I10/G10*100,"")</f>
        <v/>
      </c>
      <c r="S10" s="14" t="n">
        <v>48.7</v>
      </c>
      <c r="T10" s="13">
        <f>IF(G10&gt;0,M10/G10,"")</f>
        <v/>
      </c>
      <c r="U10" s="13">
        <f>IF(H10&gt;0,M10/H10,"")</f>
        <v/>
      </c>
    </row>
    <row r="11" ht="42" customHeight="1">
      <c r="A11" s="4" t="inlineStr">
        <is>
          <t>ADBE</t>
        </is>
      </c>
      <c r="B11" s="4" t="inlineStr">
        <is>
          <t>Adobe Inc.</t>
        </is>
      </c>
      <c r="C11" s="4" t="inlineStr">
        <is>
          <t>United States</t>
        </is>
      </c>
      <c r="D11" s="4" t="inlineStr">
        <is>
          <t>Technology</t>
        </is>
      </c>
      <c r="E11" s="4" t="inlineStr">
        <is>
          <t>Software - Application</t>
        </is>
      </c>
      <c r="F11" s="5" t="inlineStr">
        <is>
          <t>Adobe Inc. operates as a technology company worldwide. The Digital Media segment offers products and services that enable individuals, teams, and enterprises to create, publish, and promote content. This segment serve...</t>
        </is>
      </c>
      <c r="G11" s="6" t="n">
        <v>23769</v>
      </c>
      <c r="H11" s="6" t="n">
        <v>9815</v>
      </c>
      <c r="I11" s="6" t="n">
        <v>7208</v>
      </c>
      <c r="J11" s="6" t="n">
        <v>6656</v>
      </c>
      <c r="K11" s="6" t="n">
        <v>6890</v>
      </c>
      <c r="L11" s="6" t="n">
        <v>102345.9</v>
      </c>
      <c r="M11" s="6" t="n">
        <v>101987.2</v>
      </c>
      <c r="N11" s="7" t="n">
        <v>14.9</v>
      </c>
      <c r="O11" s="8" t="n">
        <v>12</v>
      </c>
      <c r="P11" s="9" t="n">
        <v>31360</v>
      </c>
      <c r="Q11" s="8">
        <f>IF(G11&gt;0,H11/G11*100,"")</f>
        <v/>
      </c>
      <c r="R11" s="8">
        <f>IF(G11&gt;0,I11/G11*100,"")</f>
        <v/>
      </c>
      <c r="S11" s="8" t="n">
        <v>92</v>
      </c>
      <c r="T11" s="7">
        <f>IF(G11&gt;0,M11/G11,"")</f>
        <v/>
      </c>
      <c r="U11" s="7">
        <f>IF(H11&gt;0,M11/H11,"")</f>
        <v/>
      </c>
    </row>
    <row r="12" ht="42" customHeight="1">
      <c r="A12" s="10" t="inlineStr">
        <is>
          <t>LRCX</t>
        </is>
      </c>
      <c r="B12" s="10" t="inlineStr">
        <is>
          <t>Lam Research Corporation</t>
        </is>
      </c>
      <c r="C12" s="10" t="inlineStr">
        <is>
          <t>United States</t>
        </is>
      </c>
      <c r="D12" s="10" t="inlineStr">
        <is>
          <t>Technology</t>
        </is>
      </c>
      <c r="E12" s="10" t="inlineStr">
        <is>
          <t>Semiconductor Equipment &amp; Materials</t>
        </is>
      </c>
      <c r="F12" s="11" t="inlineStr">
        <is>
          <t>Lam Research Corporation designs, manufactures, markets, refurbishes, and services semiconductor processing equipment used in the fabrication of integrated circuits in the United States, China, Korea, Taiwan, Japan, S...</t>
        </is>
      </c>
      <c r="G12" s="12" t="n">
        <v>20560.5</v>
      </c>
      <c r="H12" s="12" t="n">
        <v>7584.1</v>
      </c>
      <c r="I12" s="12" t="n">
        <v>6213.4</v>
      </c>
      <c r="J12" s="12" t="n">
        <v>4483.7</v>
      </c>
      <c r="K12" s="12" t="n">
        <v>6180.4</v>
      </c>
      <c r="L12" s="12" t="n">
        <v>266529.6</v>
      </c>
      <c r="M12" s="12" t="n">
        <v>263292.5</v>
      </c>
      <c r="N12" s="13" t="n">
        <v>43.5</v>
      </c>
      <c r="O12" s="14" t="n">
        <v>22.1</v>
      </c>
      <c r="P12" s="15" t="n">
        <v>19700</v>
      </c>
      <c r="Q12" s="14">
        <f>IF(G12&gt;0,H12/G12*100,"")</f>
        <v/>
      </c>
      <c r="R12" s="14">
        <f>IF(G12&gt;0,I12/G12*100,"")</f>
        <v/>
      </c>
      <c r="S12" s="14" t="n">
        <v>49.8</v>
      </c>
      <c r="T12" s="13">
        <f>IF(G12&gt;0,M12/G12,"")</f>
        <v/>
      </c>
      <c r="U12" s="13">
        <f>IF(H12&gt;0,M12/H12,"")</f>
        <v/>
      </c>
    </row>
    <row r="13" ht="42" customHeight="1">
      <c r="A13" s="4" t="inlineStr">
        <is>
          <t>TXN</t>
        </is>
      </c>
      <c r="B13" s="4" t="inlineStr">
        <is>
          <t>Texas Instruments Incorporated</t>
        </is>
      </c>
      <c r="C13" s="4" t="inlineStr">
        <is>
          <t>United States</t>
        </is>
      </c>
      <c r="D13" s="4" t="inlineStr">
        <is>
          <t>Technology</t>
        </is>
      </c>
      <c r="E13" s="4" t="inlineStr">
        <is>
          <t>Semiconductors</t>
        </is>
      </c>
      <c r="F13" s="5" t="inlineStr">
        <is>
          <t>Texas Instruments Incorporated designs, manufactures, and sells semiconductors to electronics designers and manufacturers in the United States, China, the rest of Asia, Europe, the Middle East, Africa, Japan, and inte...</t>
        </is>
      </c>
      <c r="G13" s="6" t="n">
        <v>17682</v>
      </c>
      <c r="H13" s="6" t="n">
        <v>8252</v>
      </c>
      <c r="I13" s="6" t="n">
        <v>4973</v>
      </c>
      <c r="J13" s="6" t="n">
        <v>14779</v>
      </c>
      <c r="K13" s="6" t="n">
        <v>4881</v>
      </c>
      <c r="L13" s="6" t="n">
        <v>173698.2</v>
      </c>
      <c r="M13" s="6" t="n">
        <v>183040.5</v>
      </c>
      <c r="N13" s="7" t="n">
        <v>34.9</v>
      </c>
      <c r="O13" s="8" t="n">
        <v>10.4</v>
      </c>
      <c r="P13" s="9" t="n">
        <v>33000</v>
      </c>
      <c r="Q13" s="8">
        <f>IF(G13&gt;0,H13/G13*100,"")</f>
        <v/>
      </c>
      <c r="R13" s="8">
        <f>IF(G13&gt;0,I13/G13*100,"")</f>
        <v/>
      </c>
      <c r="S13" s="8" t="n">
        <v>57</v>
      </c>
      <c r="T13" s="7">
        <f>IF(G13&gt;0,M13/G13,"")</f>
        <v/>
      </c>
      <c r="U13" s="7">
        <f>IF(H13&gt;0,M13/H13,"")</f>
        <v/>
      </c>
    </row>
    <row r="14" ht="42" customHeight="1">
      <c r="A14" s="10" t="inlineStr">
        <is>
          <t>NOW</t>
        </is>
      </c>
      <c r="B14" s="10" t="inlineStr">
        <is>
          <t>ServiceNow, Inc.</t>
        </is>
      </c>
      <c r="C14" s="10" t="inlineStr">
        <is>
          <t>United States</t>
        </is>
      </c>
      <c r="D14" s="10" t="inlineStr">
        <is>
          <t>Technology</t>
        </is>
      </c>
      <c r="E14" s="10" t="inlineStr">
        <is>
          <t>Software - Application</t>
        </is>
      </c>
      <c r="F14" s="11" t="inlineStr">
        <is>
          <t>ServiceNow, Inc. provides cloud-based solution for digital workflows in the North America, Europe, the Middle East and Africa, Asia Pacific, and internationally. The company provides asset management, integrated risk ...</t>
        </is>
      </c>
      <c r="G14" s="12" t="n">
        <v>13278</v>
      </c>
      <c r="H14" s="12" t="n">
        <v>3022</v>
      </c>
      <c r="I14" s="12" t="n">
        <v>1748</v>
      </c>
      <c r="J14" s="12" t="n">
        <v>2403</v>
      </c>
      <c r="K14" s="12" t="n">
        <v>6284</v>
      </c>
      <c r="L14" s="12" t="n">
        <v>119885.3</v>
      </c>
      <c r="M14" s="12" t="n">
        <v>114965.5</v>
      </c>
      <c r="N14" s="13" t="n">
        <v>68</v>
      </c>
      <c r="O14" s="14" t="n">
        <v>20.7</v>
      </c>
      <c r="P14" s="15" t="n">
        <v>29187</v>
      </c>
      <c r="Q14" s="14">
        <f>IF(G14&gt;0,H14/G14*100,"")</f>
        <v/>
      </c>
      <c r="R14" s="14">
        <f>IF(G14&gt;0,I14/G14*100,"")</f>
        <v/>
      </c>
      <c r="S14" s="14" t="n">
        <v>77.5</v>
      </c>
      <c r="T14" s="13">
        <f>IF(G14&gt;0,M14/G14,"")</f>
        <v/>
      </c>
      <c r="U14" s="13">
        <f>IF(H14&gt;0,M14/H14,"")</f>
        <v/>
      </c>
    </row>
    <row r="15" ht="42" customHeight="1">
      <c r="A15" s="4" t="inlineStr">
        <is>
          <t>KLAC</t>
        </is>
      </c>
      <c r="B15" s="4" t="inlineStr">
        <is>
          <t>KLA Corporation</t>
        </is>
      </c>
      <c r="C15" s="4" t="inlineStr">
        <is>
          <t>United States</t>
        </is>
      </c>
      <c r="D15" s="4" t="inlineStr">
        <is>
          <t>Technology</t>
        </is>
      </c>
      <c r="E15" s="4" t="inlineStr">
        <is>
          <t>Semiconductor Equipment &amp; Materials</t>
        </is>
      </c>
      <c r="F15" s="5" t="inlineStr">
        <is>
          <t>KLA Corporation, together with its subsidiaries, designs, manufactures, and markets process control, process-enabling, and yield management solutions for the semiconductor and related electronics industries worldwide....</t>
        </is>
      </c>
      <c r="G15" s="6" t="n">
        <v>12744.6</v>
      </c>
      <c r="H15" s="6" t="n">
        <v>5909.4</v>
      </c>
      <c r="I15" s="6" t="n">
        <v>4558</v>
      </c>
      <c r="J15" s="6" t="n">
        <v>6109.5</v>
      </c>
      <c r="K15" s="6" t="n">
        <v>5207.5</v>
      </c>
      <c r="L15" s="6" t="n">
        <v>186398.4</v>
      </c>
      <c r="M15" s="6" t="n">
        <v>186852.5</v>
      </c>
      <c r="N15" s="7" t="n">
        <v>41.3</v>
      </c>
      <c r="O15" s="8" t="n">
        <v>7.2</v>
      </c>
      <c r="P15" s="9" t="n">
        <v>15000</v>
      </c>
      <c r="Q15" s="8">
        <f>IF(G15&gt;0,H15/G15*100,"")</f>
        <v/>
      </c>
      <c r="R15" s="8">
        <f>IF(G15&gt;0,I15/G15*100,"")</f>
        <v/>
      </c>
      <c r="S15" s="8" t="n">
        <v>61.6</v>
      </c>
      <c r="T15" s="7">
        <f>IF(G15&gt;0,M15/G15,"")</f>
        <v/>
      </c>
      <c r="U15" s="7">
        <f>IF(H15&gt;0,M15/H15,"")</f>
        <v/>
      </c>
    </row>
    <row r="16" ht="42" customHeight="1">
      <c r="A16" s="10" t="inlineStr">
        <is>
          <t>ADI</t>
        </is>
      </c>
      <c r="B16" s="10" t="inlineStr">
        <is>
          <t>Analog Devices, Inc.</t>
        </is>
      </c>
      <c r="C16" s="10" t="inlineStr">
        <is>
          <t>United States</t>
        </is>
      </c>
      <c r="D16" s="10" t="inlineStr">
        <is>
          <t>Technology</t>
        </is>
      </c>
      <c r="E16" s="10" t="inlineStr">
        <is>
          <t>Semiconductors</t>
        </is>
      </c>
      <c r="F16" s="11" t="inlineStr">
        <is>
          <t>Analog Devices, Inc. engages in the design, manufacture, testing, and marketing of integrated circuits (ICs), software, and subsystems products in the United States, rest of North and South America, Europe, Japan, Chi...</t>
        </is>
      </c>
      <c r="G16" s="12" t="n">
        <v>11756.8</v>
      </c>
      <c r="H16" s="12" t="n">
        <v>5524.9</v>
      </c>
      <c r="I16" s="12" t="n">
        <v>2706.9</v>
      </c>
      <c r="J16" s="12" t="n">
        <v>8701.1</v>
      </c>
      <c r="K16" s="12" t="n">
        <v>4048.8</v>
      </c>
      <c r="L16" s="12" t="n">
        <v>149424.7</v>
      </c>
      <c r="M16" s="12" t="n">
        <v>154076.9</v>
      </c>
      <c r="N16" s="13" t="n">
        <v>55.9</v>
      </c>
      <c r="O16" s="14" t="n">
        <v>30.4</v>
      </c>
      <c r="P16" s="15" t="n">
        <v>24500</v>
      </c>
      <c r="Q16" s="14">
        <f>IF(G16&gt;0,H16/G16*100,"")</f>
        <v/>
      </c>
      <c r="R16" s="14">
        <f>IF(G16&gt;0,I16/G16*100,"")</f>
        <v/>
      </c>
      <c r="S16" s="14" t="n">
        <v>62.8</v>
      </c>
      <c r="T16" s="13">
        <f>IF(G16&gt;0,M16/G16,"")</f>
        <v/>
      </c>
      <c r="U16" s="13">
        <f>IF(H16&gt;0,M16/H16,"")</f>
        <v/>
      </c>
    </row>
    <row r="17" ht="42" customHeight="1">
      <c r="A17" s="4" t="inlineStr">
        <is>
          <t>WDAY</t>
        </is>
      </c>
      <c r="B17" s="4" t="inlineStr">
        <is>
          <t>Workday, Inc.</t>
        </is>
      </c>
      <c r="C17" s="4" t="inlineStr">
        <is>
          <t>United States</t>
        </is>
      </c>
      <c r="D17" s="4" t="inlineStr">
        <is>
          <t>Technology</t>
        </is>
      </c>
      <c r="E17" s="4" t="inlineStr">
        <is>
          <t>Software - Application</t>
        </is>
      </c>
      <c r="F17" s="5" t="inlineStr">
        <is>
          <t>Workday, Inc. provides enterprise cloud applications in the United States and internationally. The company offers a suite of financial management applications to maintain accounting information; manage financial proce...</t>
        </is>
      </c>
      <c r="G17" s="6" t="n">
        <v>9231</v>
      </c>
      <c r="H17" s="6" t="n">
        <v>1321</v>
      </c>
      <c r="I17" s="6" t="n">
        <v>693</v>
      </c>
      <c r="J17" s="6" t="n">
        <v>3821</v>
      </c>
      <c r="K17" s="6" t="n">
        <v>5443</v>
      </c>
      <c r="L17" s="6" t="n">
        <v>35535</v>
      </c>
      <c r="M17" s="6" t="n">
        <v>32582.1</v>
      </c>
      <c r="N17" s="7" t="n">
        <v>51.2</v>
      </c>
      <c r="O17" s="8" t="n">
        <v>14.5</v>
      </c>
      <c r="P17" s="9" t="n">
        <v>21070</v>
      </c>
      <c r="Q17" s="8">
        <f>IF(G17&gt;0,H17/G17*100,"")</f>
        <v/>
      </c>
      <c r="R17" s="8">
        <f>IF(G17&gt;0,I17/G17*100,"")</f>
        <v/>
      </c>
      <c r="S17" s="8" t="n">
        <v>78.3</v>
      </c>
      <c r="T17" s="7">
        <f>IF(G17&gt;0,M17/G17,"")</f>
        <v/>
      </c>
      <c r="U17" s="7">
        <f>IF(H17&gt;0,M17/H17,"")</f>
        <v/>
      </c>
    </row>
    <row r="18" ht="42" customHeight="1">
      <c r="A18" s="10" t="inlineStr">
        <is>
          <t>SNPS</t>
        </is>
      </c>
      <c r="B18" s="10" t="inlineStr">
        <is>
          <t>Synopsys, Inc.</t>
        </is>
      </c>
      <c r="C18" s="10" t="inlineStr">
        <is>
          <t>United States</t>
        </is>
      </c>
      <c r="D18" s="10" t="inlineStr">
        <is>
          <t>Technology</t>
        </is>
      </c>
      <c r="E18" s="10" t="inlineStr">
        <is>
          <t>Software - Infrastructure</t>
        </is>
      </c>
      <c r="F18" s="11" t="inlineStr">
        <is>
          <t>Synopsys, Inc. provides design IP solutions in the semiconductor and electronics industries. It operates in two segments, Design Automation and Design IP. The company offers Digital and Custom IC Design solution that ...</t>
        </is>
      </c>
      <c r="G18" s="12" t="n">
        <v>8007.7</v>
      </c>
      <c r="H18" s="12" t="n">
        <v>2842.6</v>
      </c>
      <c r="I18" s="12" t="n">
        <v>1105.4</v>
      </c>
      <c r="J18" s="12" t="n">
        <v>10868.6</v>
      </c>
      <c r="K18" s="12" t="n">
        <v>2203.5</v>
      </c>
      <c r="L18" s="12" t="n">
        <v>79044.2</v>
      </c>
      <c r="M18" s="12" t="n">
        <v>87708.5</v>
      </c>
      <c r="N18" s="13" t="n">
        <v>63.3</v>
      </c>
      <c r="O18" s="14" t="n">
        <v>65.5</v>
      </c>
      <c r="P18" s="15" t="n">
        <v>28000</v>
      </c>
      <c r="Q18" s="14">
        <f>IF(G18&gt;0,H18/G18*100,"")</f>
        <v/>
      </c>
      <c r="R18" s="14">
        <f>IF(G18&gt;0,I18/G18*100,"")</f>
        <v/>
      </c>
      <c r="S18" s="14" t="n">
        <v>82</v>
      </c>
      <c r="T18" s="13">
        <f>IF(G18&gt;0,M18/G18,"")</f>
        <v/>
      </c>
      <c r="U18" s="13">
        <f>IF(H18&gt;0,M18/H18,"")</f>
        <v/>
      </c>
    </row>
    <row r="19" ht="42" customHeight="1">
      <c r="A19" s="4" t="inlineStr">
        <is>
          <t>MRVL</t>
        </is>
      </c>
      <c r="B19" s="4" t="inlineStr">
        <is>
          <t>Marvell Technology, Inc.</t>
        </is>
      </c>
      <c r="C19" s="4" t="inlineStr">
        <is>
          <t>United States</t>
        </is>
      </c>
      <c r="D19" s="4" t="inlineStr">
        <is>
          <t>Technology</t>
        </is>
      </c>
      <c r="E19" s="4" t="inlineStr">
        <is>
          <t>Semiconductors</t>
        </is>
      </c>
      <c r="F19" s="5" t="inlineStr">
        <is>
          <t>Marvell Technology, Inc., together with its subsidiaries, provides data infrastructure semiconductor solutions and spanning the data center core to network edge in the United States, Argentina, China, India, Israel, J...</t>
        </is>
      </c>
      <c r="G19" s="6" t="n">
        <v>7793.3</v>
      </c>
      <c r="H19" s="6" t="n">
        <v>4371.6</v>
      </c>
      <c r="I19" s="6" t="n">
        <v>2670.1</v>
      </c>
      <c r="J19" s="6" t="n">
        <v>4790.3</v>
      </c>
      <c r="K19" s="6" t="n">
        <v>2638.8</v>
      </c>
      <c r="L19" s="6" t="n">
        <v>76741.3</v>
      </c>
      <c r="M19" s="6" t="n">
        <v>78967.5</v>
      </c>
      <c r="N19" s="7" t="n">
        <v>28.6</v>
      </c>
      <c r="O19" s="8" t="n">
        <v>22.1</v>
      </c>
      <c r="P19" s="9" t="n">
        <v>7480</v>
      </c>
      <c r="Q19" s="8">
        <f>IF(G19&gt;0,H19/G19*100,"")</f>
        <v/>
      </c>
      <c r="R19" s="8">
        <f>IF(G19&gt;0,I19/G19*100,"")</f>
        <v/>
      </c>
      <c r="S19" s="8" t="n">
        <v>53.7</v>
      </c>
      <c r="T19" s="7">
        <f>IF(G19&gt;0,M19/G19,"")</f>
        <v/>
      </c>
      <c r="U19" s="7">
        <f>IF(H19&gt;0,M19/H19,"")</f>
        <v/>
      </c>
    </row>
    <row r="20" ht="42" customHeight="1">
      <c r="A20" s="10" t="inlineStr">
        <is>
          <t>CDNS</t>
        </is>
      </c>
      <c r="B20" s="10" t="inlineStr">
        <is>
          <t>Cadence Design Systems, Inc.</t>
        </is>
      </c>
      <c r="C20" s="10" t="inlineStr">
        <is>
          <t>United States</t>
        </is>
      </c>
      <c r="D20" s="10" t="inlineStr">
        <is>
          <t>Technology</t>
        </is>
      </c>
      <c r="E20" s="10" t="inlineStr">
        <is>
          <t>Software - Application</t>
        </is>
      </c>
      <c r="F20" s="11" t="inlineStr">
        <is>
          <t>Cadence Design Systems, Inc. develops computational, AI-driven software, hardware, and silicon intellectual property (IP) products and solutions. The company offers functional verification services, such as Jasper, a ...</t>
        </is>
      </c>
      <c r="G20" s="12" t="n">
        <v>5296.8</v>
      </c>
      <c r="H20" s="12" t="n">
        <v>1872.4</v>
      </c>
      <c r="I20" s="12" t="n">
        <v>1108.9</v>
      </c>
      <c r="J20" s="12" t="n">
        <v>2666.3</v>
      </c>
      <c r="K20" s="12" t="n">
        <v>3155.5</v>
      </c>
      <c r="L20" s="12" t="n">
        <v>79184.5</v>
      </c>
      <c r="M20" s="12" t="n">
        <v>77769.8</v>
      </c>
      <c r="N20" s="13" t="n">
        <v>70.90000000000001</v>
      </c>
      <c r="O20" s="14" t="n">
        <v>6.2</v>
      </c>
      <c r="P20" s="15" t="n">
        <v>13800</v>
      </c>
      <c r="Q20" s="14">
        <f>IF(G20&gt;0,H20/G20*100,"")</f>
        <v/>
      </c>
      <c r="R20" s="14">
        <f>IF(G20&gt;0,I20/G20*100,"")</f>
        <v/>
      </c>
      <c r="S20" s="14" t="n">
        <v>86.40000000000001</v>
      </c>
      <c r="T20" s="13">
        <f>IF(G20&gt;0,M20/G20,"")</f>
        <v/>
      </c>
      <c r="U20" s="13">
        <f>IF(H20&gt;0,M20/H20,"")</f>
        <v/>
      </c>
    </row>
    <row r="22">
      <c r="A22" s="16" t="inlineStr">
        <is>
          <t>Mediana</t>
        </is>
      </c>
      <c r="G22" s="17">
        <f>MEDIAN(G8:G20)</f>
        <v/>
      </c>
      <c r="H22" s="17">
        <f>MEDIAN(H8:H20)</f>
        <v/>
      </c>
      <c r="I22" s="17">
        <f>MEDIAN(I8:I20)</f>
        <v/>
      </c>
      <c r="L22" s="17">
        <f>MEDIAN(L8:L20)</f>
        <v/>
      </c>
      <c r="M22" s="17">
        <f>MEDIAN(M8:M20)</f>
        <v/>
      </c>
      <c r="N22" s="18">
        <f>MEDIAN(N8:N20)</f>
        <v/>
      </c>
      <c r="O22" s="19">
        <f>MEDIAN(O8:O20)</f>
        <v/>
      </c>
      <c r="Q22" s="19">
        <f>MEDIAN(Q8:Q20)</f>
        <v/>
      </c>
      <c r="R22" s="19">
        <f>MEDIAN(R8:R20)</f>
        <v/>
      </c>
      <c r="S22" s="19">
        <f>MEDIAN(S8:S20)</f>
        <v/>
      </c>
      <c r="T22" s="18">
        <f>MEDIAN(T8:T20)</f>
        <v/>
      </c>
      <c r="U22" s="18">
        <f>MEDIAN(U8:U20)</f>
        <v/>
      </c>
    </row>
    <row r="23">
      <c r="A23" s="16" t="inlineStr">
        <is>
          <t>Promedio</t>
        </is>
      </c>
      <c r="G23" s="17">
        <f>AVERAGE(G8:G20)</f>
        <v/>
      </c>
      <c r="H23" s="17">
        <f>AVERAGE(H8:H20)</f>
        <v/>
      </c>
      <c r="I23" s="17">
        <f>AVERAGE(I8:I20)</f>
        <v/>
      </c>
      <c r="L23" s="17">
        <f>AVERAGE(L8:L20)</f>
        <v/>
      </c>
      <c r="M23" s="17">
        <f>AVERAGE(M8:M20)</f>
        <v/>
      </c>
      <c r="N23" s="18">
        <f>AVERAGE(N8:N20)</f>
        <v/>
      </c>
      <c r="O23" s="19">
        <f>AVERAGE(O8:O20)</f>
        <v/>
      </c>
      <c r="Q23" s="19">
        <f>AVERAGE(Q8:Q20)</f>
        <v/>
      </c>
      <c r="R23" s="19">
        <f>AVERAGE(R8:R20)</f>
        <v/>
      </c>
      <c r="S23" s="19">
        <f>AVERAGE(S8:S20)</f>
        <v/>
      </c>
      <c r="T23" s="18">
        <f>AVERAGE(T8:T20)</f>
        <v/>
      </c>
      <c r="U23" s="18">
        <f>AVERAGE(U8:U20)</f>
        <v/>
      </c>
    </row>
    <row r="26" ht="20" customHeight="1">
      <c r="A26" s="24" t="inlineStr">
        <is>
          <t>── IMPLIED VALUATION ──</t>
        </is>
      </c>
    </row>
    <row r="27">
      <c r="A27" s="21" t="inlineStr">
        <is>
          <t>Revenue Target ($mm)</t>
        </is>
      </c>
      <c r="B27" s="25">
        <f>$B$2</f>
        <v/>
      </c>
    </row>
    <row r="28">
      <c r="A28" s="21" t="inlineStr">
        <is>
          <t>EV Implied — EV/Revenue (mediana)</t>
        </is>
      </c>
      <c r="B28" s="25">
        <f>$B$2*T22</f>
        <v/>
      </c>
    </row>
    <row r="29">
      <c r="A29" s="21" t="inlineStr">
        <is>
          <t>EV Implied — EV/EBITDA (mediana)</t>
        </is>
      </c>
      <c r="B29" s="25">
        <f>$B$2*(Q22/100)*U22</f>
        <v/>
      </c>
    </row>
  </sheetData>
  <mergeCells count="1">
    <mergeCell ref="A6:U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2026-03-15T01:13:38Z</dcterms:created>
  <dcterms:modified xmlns:dcterms="http://purl.org/dc/terms/" xmlns:xsi="http://www.w3.org/2001/XMLSchema-instance" xsi:type="dcterms:W3CDTF">2026-03-15T01:13:38Z</dcterms:modified>
</cp:coreProperties>
</file>