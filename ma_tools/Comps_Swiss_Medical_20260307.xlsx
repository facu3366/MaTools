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6667fcbc27a88bd9/Pancho Main/Cursor/ma_tools/"/>
    </mc:Choice>
  </mc:AlternateContent>
  <xr:revisionPtr revIDLastSave="1" documentId="11_29E54FFAB964911B192EDFF42F5BDA16364DE134" xr6:coauthVersionLast="47" xr6:coauthVersionMax="47" xr10:uidLastSave="{196D7A7F-53ED-452D-A289-51ADEBB4E657}"/>
  <bookViews>
    <workbookView xWindow="28680" yWindow="-120" windowWidth="29040" windowHeight="15720" activeTab="1" xr2:uid="{00000000-000D-0000-FFFF-FFFF00000000}"/>
  </bookViews>
  <sheets>
    <sheet name="Universe Completo" sheetId="1" r:id="rId1"/>
    <sheet name="Comps Filtrad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2" l="1"/>
  <c r="S23" i="2"/>
  <c r="Q23" i="2"/>
  <c r="O23" i="2"/>
  <c r="N23" i="2"/>
  <c r="M23" i="2"/>
  <c r="L23" i="2"/>
  <c r="I23" i="2"/>
  <c r="H23" i="2"/>
  <c r="G23" i="2"/>
  <c r="S22" i="2"/>
  <c r="Q22" i="2"/>
  <c r="O22" i="2"/>
  <c r="N22" i="2"/>
  <c r="M22" i="2"/>
  <c r="L22" i="2"/>
  <c r="I22" i="2"/>
  <c r="H22" i="2"/>
  <c r="G22" i="2"/>
  <c r="U20" i="2"/>
  <c r="T20" i="2"/>
  <c r="R20" i="2"/>
  <c r="Q20" i="2"/>
  <c r="U19" i="2"/>
  <c r="T19" i="2"/>
  <c r="R19" i="2"/>
  <c r="Q19" i="2"/>
  <c r="U18" i="2"/>
  <c r="T18" i="2"/>
  <c r="R18" i="2"/>
  <c r="Q18" i="2"/>
  <c r="U17" i="2"/>
  <c r="T17" i="2"/>
  <c r="R17" i="2"/>
  <c r="Q17" i="2"/>
  <c r="U16" i="2"/>
  <c r="T16" i="2"/>
  <c r="R16" i="2"/>
  <c r="Q16" i="2"/>
  <c r="U15" i="2"/>
  <c r="T15" i="2"/>
  <c r="R15" i="2"/>
  <c r="Q15" i="2"/>
  <c r="U14" i="2"/>
  <c r="T14" i="2"/>
  <c r="R14" i="2"/>
  <c r="Q14" i="2"/>
  <c r="U13" i="2"/>
  <c r="T13" i="2"/>
  <c r="R13" i="2"/>
  <c r="Q13" i="2"/>
  <c r="U12" i="2"/>
  <c r="T12" i="2"/>
  <c r="R12" i="2"/>
  <c r="Q12" i="2"/>
  <c r="U11" i="2"/>
  <c r="T11" i="2"/>
  <c r="R11" i="2"/>
  <c r="Q11" i="2"/>
  <c r="U10" i="2"/>
  <c r="T10" i="2"/>
  <c r="R10" i="2"/>
  <c r="Q10" i="2"/>
  <c r="U9" i="2"/>
  <c r="T9" i="2"/>
  <c r="R9" i="2"/>
  <c r="Q9" i="2"/>
  <c r="U8" i="2"/>
  <c r="U23" i="2" s="1"/>
  <c r="T8" i="2"/>
  <c r="T23" i="2" s="1"/>
  <c r="R8" i="2"/>
  <c r="R23" i="2" s="1"/>
  <c r="Q8" i="2"/>
  <c r="S56" i="1"/>
  <c r="O56" i="1"/>
  <c r="N56" i="1"/>
  <c r="M56" i="1"/>
  <c r="L56" i="1"/>
  <c r="I56" i="1"/>
  <c r="H56" i="1"/>
  <c r="G56" i="1"/>
  <c r="S55" i="1"/>
  <c r="R55" i="1"/>
  <c r="O55" i="1"/>
  <c r="N55" i="1"/>
  <c r="M55" i="1"/>
  <c r="L55" i="1"/>
  <c r="I55" i="1"/>
  <c r="H55" i="1"/>
  <c r="G55" i="1"/>
  <c r="U52" i="1"/>
  <c r="T52" i="1"/>
  <c r="R52" i="1"/>
  <c r="Q52" i="1"/>
  <c r="U51" i="1"/>
  <c r="T51" i="1"/>
  <c r="R51" i="1"/>
  <c r="Q51" i="1"/>
  <c r="U50" i="1"/>
  <c r="T50" i="1"/>
  <c r="R50" i="1"/>
  <c r="Q50" i="1"/>
  <c r="U49" i="1"/>
  <c r="T49" i="1"/>
  <c r="R49" i="1"/>
  <c r="Q49" i="1"/>
  <c r="U48" i="1"/>
  <c r="T48" i="1"/>
  <c r="R48" i="1"/>
  <c r="Q48" i="1"/>
  <c r="U47" i="1"/>
  <c r="T47" i="1"/>
  <c r="R47" i="1"/>
  <c r="Q47" i="1"/>
  <c r="U46" i="1"/>
  <c r="T46" i="1"/>
  <c r="R46" i="1"/>
  <c r="Q46" i="1"/>
  <c r="U45" i="1"/>
  <c r="T45" i="1"/>
  <c r="R45" i="1"/>
  <c r="Q45" i="1"/>
  <c r="U44" i="1"/>
  <c r="T44" i="1"/>
  <c r="R44" i="1"/>
  <c r="Q44" i="1"/>
  <c r="U43" i="1"/>
  <c r="T43" i="1"/>
  <c r="R43" i="1"/>
  <c r="Q43" i="1"/>
  <c r="U42" i="1"/>
  <c r="T42" i="1"/>
  <c r="R42" i="1"/>
  <c r="Q42" i="1"/>
  <c r="U41" i="1"/>
  <c r="T41" i="1"/>
  <c r="R41" i="1"/>
  <c r="Q41" i="1"/>
  <c r="U40" i="1"/>
  <c r="T40" i="1"/>
  <c r="R40" i="1"/>
  <c r="Q40" i="1"/>
  <c r="U39" i="1"/>
  <c r="T39" i="1"/>
  <c r="R39" i="1"/>
  <c r="Q39" i="1"/>
  <c r="U38" i="1"/>
  <c r="T38" i="1"/>
  <c r="R38" i="1"/>
  <c r="Q38" i="1"/>
  <c r="U37" i="1"/>
  <c r="T37" i="1"/>
  <c r="R37" i="1"/>
  <c r="Q37" i="1"/>
  <c r="U36" i="1"/>
  <c r="T36" i="1"/>
  <c r="R36" i="1"/>
  <c r="Q36" i="1"/>
  <c r="U35" i="1"/>
  <c r="T35" i="1"/>
  <c r="R35" i="1"/>
  <c r="Q35" i="1"/>
  <c r="U34" i="1"/>
  <c r="T34" i="1"/>
  <c r="R34" i="1"/>
  <c r="Q34" i="1"/>
  <c r="U33" i="1"/>
  <c r="T33" i="1"/>
  <c r="R33" i="1"/>
  <c r="Q33" i="1"/>
  <c r="U32" i="1"/>
  <c r="T32" i="1"/>
  <c r="R32" i="1"/>
  <c r="Q32" i="1"/>
  <c r="U31" i="1"/>
  <c r="T31" i="1"/>
  <c r="R31" i="1"/>
  <c r="Q31" i="1"/>
  <c r="U30" i="1"/>
  <c r="T30" i="1"/>
  <c r="R30" i="1"/>
  <c r="Q30" i="1"/>
  <c r="U29" i="1"/>
  <c r="T29" i="1"/>
  <c r="R29" i="1"/>
  <c r="Q29" i="1"/>
  <c r="U28" i="1"/>
  <c r="T28" i="1"/>
  <c r="R28" i="1"/>
  <c r="Q28" i="1"/>
  <c r="U27" i="1"/>
  <c r="T27" i="1"/>
  <c r="R27" i="1"/>
  <c r="Q27" i="1"/>
  <c r="U26" i="1"/>
  <c r="T26" i="1"/>
  <c r="R26" i="1"/>
  <c r="Q26" i="1"/>
  <c r="U25" i="1"/>
  <c r="T25" i="1"/>
  <c r="R25" i="1"/>
  <c r="Q25" i="1"/>
  <c r="U24" i="1"/>
  <c r="T24" i="1"/>
  <c r="R24" i="1"/>
  <c r="Q24" i="1"/>
  <c r="U23" i="1"/>
  <c r="T23" i="1"/>
  <c r="R23" i="1"/>
  <c r="Q23" i="1"/>
  <c r="U22" i="1"/>
  <c r="T22" i="1"/>
  <c r="R22" i="1"/>
  <c r="Q22" i="1"/>
  <c r="U21" i="1"/>
  <c r="T21" i="1"/>
  <c r="R21" i="1"/>
  <c r="Q21" i="1"/>
  <c r="U20" i="1"/>
  <c r="T20" i="1"/>
  <c r="R20" i="1"/>
  <c r="Q20" i="1"/>
  <c r="U19" i="1"/>
  <c r="T19" i="1"/>
  <c r="R19" i="1"/>
  <c r="Q19" i="1"/>
  <c r="U18" i="1"/>
  <c r="T18" i="1"/>
  <c r="R18" i="1"/>
  <c r="Q18" i="1"/>
  <c r="U17" i="1"/>
  <c r="T17" i="1"/>
  <c r="R17" i="1"/>
  <c r="Q17" i="1"/>
  <c r="U16" i="1"/>
  <c r="T16" i="1"/>
  <c r="R16" i="1"/>
  <c r="Q16" i="1"/>
  <c r="U15" i="1"/>
  <c r="T15" i="1"/>
  <c r="R15" i="1"/>
  <c r="Q15" i="1"/>
  <c r="U14" i="1"/>
  <c r="T14" i="1"/>
  <c r="R14" i="1"/>
  <c r="Q14" i="1"/>
  <c r="U13" i="1"/>
  <c r="T13" i="1"/>
  <c r="R13" i="1"/>
  <c r="Q13" i="1"/>
  <c r="U12" i="1"/>
  <c r="T12" i="1"/>
  <c r="R12" i="1"/>
  <c r="Q12" i="1"/>
  <c r="U11" i="1"/>
  <c r="T11" i="1"/>
  <c r="R11" i="1"/>
  <c r="Q11" i="1"/>
  <c r="U10" i="1"/>
  <c r="T10" i="1"/>
  <c r="R10" i="1"/>
  <c r="Q10" i="1"/>
  <c r="U9" i="1"/>
  <c r="T9" i="1"/>
  <c r="R9" i="1"/>
  <c r="Q9" i="1"/>
  <c r="U8" i="1"/>
  <c r="T8" i="1"/>
  <c r="R8" i="1"/>
  <c r="Q8" i="1"/>
  <c r="U7" i="1"/>
  <c r="T7" i="1"/>
  <c r="R7" i="1"/>
  <c r="Q7" i="1"/>
  <c r="U6" i="1"/>
  <c r="T6" i="1"/>
  <c r="R6" i="1"/>
  <c r="Q6" i="1"/>
  <c r="U5" i="1"/>
  <c r="U56" i="1" s="1"/>
  <c r="T5" i="1"/>
  <c r="T55" i="1" s="1"/>
  <c r="R5" i="1"/>
  <c r="R56" i="1" s="1"/>
  <c r="Q5" i="1"/>
  <c r="Q56" i="1" s="1"/>
  <c r="U22" i="2" l="1"/>
  <c r="B29" i="2" s="1"/>
  <c r="Q55" i="1"/>
  <c r="T56" i="1"/>
  <c r="U55" i="1"/>
  <c r="R22" i="2"/>
  <c r="T22" i="2"/>
  <c r="B28" i="2" s="1"/>
</calcChain>
</file>

<file path=xl/sharedStrings.xml><?xml version="1.0" encoding="utf-8"?>
<sst xmlns="http://schemas.openxmlformats.org/spreadsheetml/2006/main" count="423" uniqueCount="200">
  <si>
    <t>Comparable Companies — Universe | Swiss Medical | Health Insurance</t>
  </si>
  <si>
    <t>Analista: Francisco Pini  |  Fecha: 07/03/2026  |  Fuente: Yahoo Finance  |  48 empresas</t>
  </si>
  <si>
    <t>Ticker</t>
  </si>
  <si>
    <t>Empresa</t>
  </si>
  <si>
    <t>País</t>
  </si>
  <si>
    <t>Sector</t>
  </si>
  <si>
    <t>Industria</t>
  </si>
  <si>
    <t>Descripción</t>
  </si>
  <si>
    <t>Revenue ($mm)</t>
  </si>
  <si>
    <t>EBITDA ($mm)</t>
  </si>
  <si>
    <t>Net Inc ($mm)</t>
  </si>
  <si>
    <t>Deuda ($mm)</t>
  </si>
  <si>
    <t>Cash ($mm)</t>
  </si>
  <si>
    <t>Mkt Cap ($mm)</t>
  </si>
  <si>
    <t>EV ($mm)</t>
  </si>
  <si>
    <t>P/E</t>
  </si>
  <si>
    <t>Rev Growth %</t>
  </si>
  <si>
    <t>Empleados</t>
  </si>
  <si>
    <t>EBITDA Mg%</t>
  </si>
  <si>
    <t>Net Mg%</t>
  </si>
  <si>
    <t>Gross Mg%</t>
  </si>
  <si>
    <t>EV/Revenue</t>
  </si>
  <si>
    <t>EV/EBITDA</t>
  </si>
  <si>
    <t>UNH</t>
  </si>
  <si>
    <t>UnitedHealth Group Incorporated</t>
  </si>
  <si>
    <t>United States</t>
  </si>
  <si>
    <t>Healthcare</t>
  </si>
  <si>
    <t>Healthcare Plans</t>
  </si>
  <si>
    <t>UnitedHealth Group Incorporated operates as a health care company in the United States and internationally. It operates through four segments: Optum Health, Optum Insight, Optum Rx; and UnitedHealthcare. The Optum Hea...</t>
  </si>
  <si>
    <t>CVS</t>
  </si>
  <si>
    <t>CVS Health Corporation</t>
  </si>
  <si>
    <t>CVS Health Corporation provides health solutions in the United States. The company operates through Health Care Benefits, Health Services, and Pharmacy &amp; Consumer Wellness segments. The Health Care Benefits segment of...</t>
  </si>
  <si>
    <t>CI</t>
  </si>
  <si>
    <t>The Cigna Group</t>
  </si>
  <si>
    <t>The Cigna Group, together with its subsidiaries, provides insurance and related products and services in the United States. It operates through two segments: Evernorth Health Services and Cigna Healthcare. The Evernor...</t>
  </si>
  <si>
    <t>ELV</t>
  </si>
  <si>
    <t>Elevance Health, Inc.</t>
  </si>
  <si>
    <t>Elevance Health, Inc., together with its subsidiaries, operates as a health benefits company in the United States. The company operates in four segments: Health Benefits, CarelonRx, Carelon Services, and Corporate &amp; O...</t>
  </si>
  <si>
    <t>CNC</t>
  </si>
  <si>
    <t>Centene Corporation</t>
  </si>
  <si>
    <t>Centene Corporation operates as a managed care company that provides programs and services to under-insured families, and commercial organizations in the United States. It operates through four segments: Medicaid, Med...</t>
  </si>
  <si>
    <t>HUM</t>
  </si>
  <si>
    <t>Humana Inc.</t>
  </si>
  <si>
    <t>Humana Inc. provides medical and specialty insurance products in the United States. It operates in two segments, Insurance and CenterWell. The Insurance segment offers individual Medicare Advantage products, including...</t>
  </si>
  <si>
    <t>JNJ</t>
  </si>
  <si>
    <t>Johnson &amp; Johnson</t>
  </si>
  <si>
    <t>Drug Manufacturers - General</t>
  </si>
  <si>
    <t>Johnson &amp; Johnson, together with its subsidiaries, engages in the research and development, manufacture, and sale of a range of products in the healthcare field worldwide. It operates in two segments, Innovative Medic...</t>
  </si>
  <si>
    <t>MET</t>
  </si>
  <si>
    <t>MetLife, Inc.</t>
  </si>
  <si>
    <t>Financial Services</t>
  </si>
  <si>
    <t>Insurance - Life</t>
  </si>
  <si>
    <t>MetLife, Inc., a financial services company, provides insurance, annuities, employee benefits, and asset management services worldwide. It operates in six segments: Group Benefits; Retirement and Income Solutions; Asi...</t>
  </si>
  <si>
    <t>HCA</t>
  </si>
  <si>
    <t>HCA Healthcare, Inc.</t>
  </si>
  <si>
    <t>Medical Care Facilities</t>
  </si>
  <si>
    <t>HCA Healthcare, Inc., through its subsidiaries, provides health care services in the United States. The company owns, manages, and operates hospitals, ASCs, freestanding emergency care facilities, urgent care faciliti...</t>
  </si>
  <si>
    <t>PRU</t>
  </si>
  <si>
    <t>Prudential Financial, Inc.</t>
  </si>
  <si>
    <t>Prudential Financial, Inc., together with its subsidiaries, provides financial products and services in the United States, Japan and internationally. It operates through PGIM, Retirement Strategies, Group Insurance, I...</t>
  </si>
  <si>
    <t>BMY</t>
  </si>
  <si>
    <t>Bristol-Myers Squibb Company</t>
  </si>
  <si>
    <t>Bristol-Myers Squibb Company discovers, develops, licenses, manufactures, markets, distributes, and sells biopharmaceutical products worldwide. It offers products for oncology, hematology, immunology, cardiovascular, ...</t>
  </si>
  <si>
    <t>ABT</t>
  </si>
  <si>
    <t>Abbott Laboratories</t>
  </si>
  <si>
    <t>Medical Devices</t>
  </si>
  <si>
    <t>Abbott Laboratories, together with its subsidiaries, discovers, develops, manufactures, and sells health care products worldwide. It operates in four segments: Established Pharmaceutical Products, Diagnostic Products,...</t>
  </si>
  <si>
    <t>MOH</t>
  </si>
  <si>
    <t>Molina Healthcare Inc</t>
  </si>
  <si>
    <t>Molina Healthcare, Inc. provides managed healthcare services to low-income families and individuals under the Medicaid and Medicare programs and through the state insurance marketplaces in the United States. It operat...</t>
  </si>
  <si>
    <t>AMGN</t>
  </si>
  <si>
    <t>Amgen Inc.</t>
  </si>
  <si>
    <t>Amgen Inc. discovers, develops, manufactures, and delivers human therapeutics worldwide. The company's principal products include Enbrel for the treatment of rheumatoid arthritis, plaque psoriasis, and psoriatic arthr...</t>
  </si>
  <si>
    <t>MDT</t>
  </si>
  <si>
    <t>Medtronic plc.</t>
  </si>
  <si>
    <t>Ireland</t>
  </si>
  <si>
    <t>Medtronic plc develops, manufactures, and sells device-based medical therapies to healthcare systems, physicians, clinicians, and patients in the United States, Ireland, and internationally. The Cardiovascular Portfol...</t>
  </si>
  <si>
    <t>HIG</t>
  </si>
  <si>
    <t>The Hartford Insurance Group, I</t>
  </si>
  <si>
    <t>Insurance - Diversified</t>
  </si>
  <si>
    <t>The Hartford Insurance Group, Inc., together with its subsidiaries, provides insurance and financial services to individual and business customers in the United States, the United Kingdom, and internationally. It oper...</t>
  </si>
  <si>
    <t>MMC</t>
  </si>
  <si>
    <t>Marsh &amp; McLennan Companies, Inc</t>
  </si>
  <si>
    <t>Insurance Brokers</t>
  </si>
  <si>
    <t>Marsh &amp; McLennan Companies, Inc., a professional services company, provides advisory services and insurance solutions to clients in the areas of risk, strategy, and people worldwide. It operates through Risk and Insur...</t>
  </si>
  <si>
    <t>THC</t>
  </si>
  <si>
    <t>Tenet Healthcare Corporation</t>
  </si>
  <si>
    <t>Tenet Healthcare Corporation operates as a diversified healthcare services company in the United States. The company operates through two segments: Hospital Operations and Services, and Ambulatory Care. Its general ho...</t>
  </si>
  <si>
    <t>ACGL</t>
  </si>
  <si>
    <t>Arch Capital Group Ltd.</t>
  </si>
  <si>
    <t>Bermuda</t>
  </si>
  <si>
    <t>Arch Capital Group Ltd., together with its subsidiaries, provides insurance, reinsurance, and mortgage insurance products in the United States, Canada, Bermuda, the United Kingdom, Europe, and Australia. The company o...</t>
  </si>
  <si>
    <t>UHS</t>
  </si>
  <si>
    <t>Universal Health Services, Inc.</t>
  </si>
  <si>
    <t>Universal Health Services, Inc., through its subsidiaries, owns and operates acute care hospitals, and outpatient and behavioral health care facilities in the United States. It operates through Acute Care Hospital Ser...</t>
  </si>
  <si>
    <t>AON</t>
  </si>
  <si>
    <t>Aon plc</t>
  </si>
  <si>
    <t>Aon plc operates as a professional services firm in the United States, rest of the Americas, the United Kingdom, Ireland, rest of Europe, the Middle East, Africa, and the Asia Pacific. It operates through Risk Capital...</t>
  </si>
  <si>
    <t>AFL</t>
  </si>
  <si>
    <t>AFLAC Incorporated</t>
  </si>
  <si>
    <t>Aflac Incorporated, through its subsidiaries, provides supplemental health and life insurance products. It operates in two segments, Aflac Japan and Aflac U.S. The Aflac Japan segment offers cancer, medical, nursing c...</t>
  </si>
  <si>
    <t>IQV</t>
  </si>
  <si>
    <t>IQVIA Holdings, Inc.</t>
  </si>
  <si>
    <t>Diagnostics &amp; Research</t>
  </si>
  <si>
    <t>IQVIA Holdings Inc. provides clinical research services, commercial insights, and healthcare intelligence to the life sciences and healthcare industries in the Americas, Europe, Africa, and the Asia-Pacific. It operat...</t>
  </si>
  <si>
    <t>LH</t>
  </si>
  <si>
    <t>Labcorp Holdings Inc.</t>
  </si>
  <si>
    <t>Labcorp Holdings Inc. provides laboratory services. It operates through two segments, Diagnostics Laboratories and Biopharma Laboratory Services. The company offers various tests, such as blood chemistry analyses, uri...</t>
  </si>
  <si>
    <t>DVA</t>
  </si>
  <si>
    <t>DaVita Inc.</t>
  </si>
  <si>
    <t>DaVita Inc. provides kidney dialysis services for patients suffering from chronic kidney failure in the United States. The company operates kidney dialysis centers and provides related lab services in outpatient dialy...</t>
  </si>
  <si>
    <t>UNM</t>
  </si>
  <si>
    <t>Unum Group</t>
  </si>
  <si>
    <t>Unum Group, together with its subsidiaries, provides financial protection benefit solutions in the United States, the United Kingdom, and Poland. It operates through Unum US, Unum International, Colonial Life, and Clo...</t>
  </si>
  <si>
    <t>CYH</t>
  </si>
  <si>
    <t>Community Health Systems, Inc.</t>
  </si>
  <si>
    <t>Community Health Systems, Inc. owns, leases, and operates general acute care hospitals in the United States. The company offers general acute care, emergency room, general and specialty surgery, critical care, interna...</t>
  </si>
  <si>
    <t>OSCR</t>
  </si>
  <si>
    <t>Oscar Health, Inc.</t>
  </si>
  <si>
    <t>Oscar Health, Inc. operates as a healthcare technology company in the United States. The company offers health plans to individuals, families, employees, and small group markets. It also provides +Oscar platform that ...</t>
  </si>
  <si>
    <t>DGX</t>
  </si>
  <si>
    <t>Quest Diagnostics Incorporated</t>
  </si>
  <si>
    <t>Quest Diagnostics Incorporated provides diagnostic testing and services in the United States. The company develops and delivers diagnostic information services, such as routine, non-routine and advanced clinical testi...</t>
  </si>
  <si>
    <t>WELL</t>
  </si>
  <si>
    <t>Welltower Inc.</t>
  </si>
  <si>
    <t>Real Estate</t>
  </si>
  <si>
    <t>REIT - Healthcare Facilities</t>
  </si>
  <si>
    <t>Welltower Inc. is a S&amp;P 500 company, is positioned at the center of the silver economy, focusing on rental housing for aging seniors across the United States, United Kingdom and Canada. Our portfolio of 2,000+ seniors...</t>
  </si>
  <si>
    <t>WTW</t>
  </si>
  <si>
    <t>Willis Towers Watson Public Lim</t>
  </si>
  <si>
    <t>United Kingdom</t>
  </si>
  <si>
    <t>Willis Towers Watson Public Limited Company operates as an advisory, broking, and solutions company worldwide. The company operates through two segments: Health, Wealth &amp; Career and Risk &amp; Broking. It offers strategy ...</t>
  </si>
  <si>
    <t>THG</t>
  </si>
  <si>
    <t>Hanover Insurance Group Inc</t>
  </si>
  <si>
    <t>Insurance - Property &amp; Casualty</t>
  </si>
  <si>
    <t>The Hanover Insurance Group, Inc., through its subsidiaries, provides various property and casualty insurance products and services for individuals and businesses in the United States. It operates in four segments: Co...</t>
  </si>
  <si>
    <t>VTR</t>
  </si>
  <si>
    <t>Ventas, Inc.</t>
  </si>
  <si>
    <t>Ventas, Inc. is a leading S&amp;P 500 real estate investment trust enabling exceptional environments that benefit a large and growing aging population. With approximately 1,400 properties in North America and the United K...</t>
  </si>
  <si>
    <t>ENSG</t>
  </si>
  <si>
    <t>The Ensign Group, Inc.</t>
  </si>
  <si>
    <t>The Ensign Group, Inc. provides skilled nursing, senior living, and rehabilitative services. It operates through two segments: Skilled Services and Standard Bearer. The Skilled Services segment provides short and long...</t>
  </si>
  <si>
    <t>SGRY</t>
  </si>
  <si>
    <t>Surgery Partners, Inc.</t>
  </si>
  <si>
    <t>Surgery Partners, Inc., together with its subsidiaries, owns and operates a network of surgical facilities and ancillary services in the United States. The company provides ambulatory surgery centers and surgical hosp...</t>
  </si>
  <si>
    <t>HIMS</t>
  </si>
  <si>
    <t>Hims &amp; Hers Health, Inc.</t>
  </si>
  <si>
    <t>Drug Manufacturers - Specialty &amp; Generic</t>
  </si>
  <si>
    <t>Hims &amp; Hers Health, Inc. operates as a consumer-first health and wellness platform that connects consumers to licensed healthcare professionals in the United States, the United Kingdom, Canada, Germany, the Republic o...</t>
  </si>
  <si>
    <t>RDDT</t>
  </si>
  <si>
    <t>Reddit, Inc.</t>
  </si>
  <si>
    <t>Communication Services</t>
  </si>
  <si>
    <t>Internet Content &amp; Information</t>
  </si>
  <si>
    <t>Reddit, Inc. operates a digital community in the United States and internationally. The company's platform enables user to engage in conversations, explore passions, research new hobbies, exchange goods and services, ...</t>
  </si>
  <si>
    <t>CLOV</t>
  </si>
  <si>
    <t>Clover Health Investments, Corp</t>
  </si>
  <si>
    <t>Clover Health Investments, Corp. provides medicare advantage plans in the United States. The company offers preferred provider organization and health maintenance organization plans to medicare-eligible individuals. I...</t>
  </si>
  <si>
    <t>NHC</t>
  </si>
  <si>
    <t>National HealthCare Corporation</t>
  </si>
  <si>
    <t>National HealthCare Corporation engages in the operation of services to skilled nursing facilities, assisted and independent living facilities, homecare and hospice agencies, and health hospitals. It operates through ...</t>
  </si>
  <si>
    <t>HQY</t>
  </si>
  <si>
    <t>HealthEquity, Inc.</t>
  </si>
  <si>
    <t>Health Information Services</t>
  </si>
  <si>
    <t>HealthEquity, Inc. provides technology-enabled services platforms to consumers and employers in the United States. It provides health savings accounts; investment platform; and online-only automated investment advisor...</t>
  </si>
  <si>
    <t>ACAD</t>
  </si>
  <si>
    <t>ACADIA Pharmaceuticals Inc.</t>
  </si>
  <si>
    <t>Biotechnology</t>
  </si>
  <si>
    <t>ACADIA Pharmaceuticals Inc., a biopharmaceutical company, focuses on the development and commercialization of medicines for neurological and rare disease in North America. The company offers NUPLAZID (pimavanserin), a...</t>
  </si>
  <si>
    <t>MPW</t>
  </si>
  <si>
    <t>Medical Properties Trust, Inc.</t>
  </si>
  <si>
    <t>Medical Properties Trust, Inc. is a self-advised real estate investment trust formed in 2003 to acquire and develop net-leased hospital facilities. From its inception in Birmingham, Alabama, the Company has grown to b...</t>
  </si>
  <si>
    <t>PINC</t>
  </si>
  <si>
    <t>Premier, Inc.</t>
  </si>
  <si>
    <t>Premier, Inc., together with its subsidiaries, operates as a healthcare improvement company in the United States. The company offers solutions for providers, such as group purchasing organization, supply chain optimiz...</t>
  </si>
  <si>
    <t>SBRA</t>
  </si>
  <si>
    <t>Sabra Health Care REIT, Inc.</t>
  </si>
  <si>
    <t>Sabra Health Care REIT, Inc. operates as a self-administered, self-managed real estate investment trust that, through its subsidiaries, owns and invests in real estate serving the healthcare industry throughout the Un...</t>
  </si>
  <si>
    <t>NVCR</t>
  </si>
  <si>
    <t>NovoCure Limited</t>
  </si>
  <si>
    <t>Switzerland</t>
  </si>
  <si>
    <t>NovoCure Limited, an oncology company, engages in the development, manufacture, and commercialization of tumor treating fields (TTFields) devices for the treatment of solid tumor cancers in the United States, Germany,...</t>
  </si>
  <si>
    <t>DOCS</t>
  </si>
  <si>
    <t>Doximity, Inc.</t>
  </si>
  <si>
    <t>Doximity, Inc. operates as a digital platform for medical professionals in the United States. Its platform provides its members with digital tools built for medicine, that enables its members to collaborate with colle...</t>
  </si>
  <si>
    <t>MDRX</t>
  </si>
  <si>
    <t>Veradigm Inc.</t>
  </si>
  <si>
    <t>Veradigm Inc., a healthcare technology company, provides information technology solutions to healthcare providers, payers, and biopharma markets in the United States and internationally. The company offers solutions t...</t>
  </si>
  <si>
    <t>NHI</t>
  </si>
  <si>
    <t>National Health Investors, Inc.</t>
  </si>
  <si>
    <t>National Health Investors, Inc. is a self-managed real estate investment trust specializing in sale-leaseback, joint venture, mortgage and mezzanine financing of need-driven and discretionary senior housing and medica...</t>
  </si>
  <si>
    <t>Mediana</t>
  </si>
  <si>
    <t>Promedio</t>
  </si>
  <si>
    <t>PARÁMETROS DEL DEAL</t>
  </si>
  <si>
    <t>Revenue Target ($mm)</t>
  </si>
  <si>
    <t>Rango mínimo (%)</t>
  </si>
  <si>
    <t>Rango máximo (%)</t>
  </si>
  <si>
    <t>Empresas con revenue entre $B$2*(B3/100) y $B$2*(B4/100) — modificá B2:B4 para cambiar el filtro</t>
  </si>
  <si>
    <t>── IMPLIED VALUATION ──</t>
  </si>
  <si>
    <t>EV Implied — EV/Revenue (mediana)</t>
  </si>
  <si>
    <t>EV Implied — EV/EBITDA (mediana)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</si>
</sst>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quot;x&quot;"/>
    <numFmt numFmtId="166" formatCode="0.0&quot;%&quot;"/>
    <numFmt numFmtId="167" formatCode="0&quot;%&quot;"/>
  </numFmts>
  <fonts count="9" x14ac:knownFonts="1">
    <font>
      <sz val="11"/>
      <color theme="1"/>
      <name val="Calibri"/>
      <family val="2"/>
      <scheme val="minor"/>
    </font>
    <font>
      <b/>
      <sz val="13"/>
      <color rgb="FF00205B"/>
      <name val="Arial"/>
    </font>
    <font>
      <i/>
      <sz val="9"/>
      <color rgb="FF666666"/>
      <name val="Arial"/>
    </font>
    <font>
      <b/>
      <sz val="9"/>
      <color rgb="FFFFFFFF"/>
      <name val="Arial"/>
    </font>
    <font>
      <sz val="9"/>
      <name val="Arial"/>
    </font>
    <font>
      <b/>
      <sz val="9"/>
      <name val="Arial"/>
    </font>
    <font>
      <b/>
      <sz val="11"/>
      <color rgb="FF00205B"/>
      <name val="Arial"/>
    </font>
    <font>
      <sz val="9"/>
      <color rgb="FF0000FF"/>
      <name val="Arial"/>
    </font>
    <font>
      <b/>
      <sz val="10"/>
      <color rgb="FF00205B"/>
      <name val="Arial"/>
    </font>
  </fonts>
  <fills count="7">
    <fill>
      <patternFill patternType="none"/>
    </fill>
    <fill>
      <patternFill patternType="gray125"/>
    </fill>
    <fill>
      <patternFill patternType="solid">
        <fgColor rgb="FF00205B"/>
      </patternFill>
    </fill>
    <fill>
      <patternFill patternType="solid">
        <fgColor rgb="FFFFFFFF"/>
      </patternFill>
    </fill>
    <fill>
      <patternFill patternType="solid">
        <fgColor rgb="FFF5F5F5"/>
      </patternFill>
    </fill>
    <fill>
      <patternFill patternType="solid">
        <fgColor rgb="FFDCE6F1"/>
      </patternFill>
    </fill>
    <fill>
      <patternFill patternType="solid">
        <f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4" fillId="3" borderId="1" xfId="0" applyFont="1" applyFill="1" applyBorder="1" applyAlignment="1">
      <alignment horizontal="left" vertical="top" wrapText="1"/>
    </xf>
    <xf numFmtId="164" fontId="4" fillId="3" borderId="1" xfId="0" applyNumberFormat="1" applyFont="1" applyFill="1" applyBorder="1" applyAlignment="1">
      <alignment horizontal="right" vertical="center"/>
    </xf>
    <xf numFmtId="165" fontId="4" fillId="3" borderId="1" xfId="0" applyNumberFormat="1" applyFont="1" applyFill="1" applyBorder="1" applyAlignment="1">
      <alignment horizontal="right" vertical="center"/>
    </xf>
    <xf numFmtId="166" fontId="4" fillId="3" borderId="1" xfId="0" applyNumberFormat="1" applyFont="1" applyFill="1" applyBorder="1" applyAlignment="1">
      <alignment horizontal="right" vertical="center"/>
    </xf>
    <xf numFmtId="3" fontId="4" fillId="3" borderId="1" xfId="0" applyNumberFormat="1" applyFont="1" applyFill="1" applyBorder="1" applyAlignment="1">
      <alignment horizontal="right" vertical="center"/>
    </xf>
    <xf numFmtId="0" fontId="4" fillId="4" borderId="1" xfId="0" applyFont="1" applyFill="1" applyBorder="1" applyAlignment="1">
      <alignment horizontal="left" vertical="center"/>
    </xf>
    <xf numFmtId="0" fontId="4" fillId="4" borderId="1" xfId="0" applyFont="1" applyFill="1" applyBorder="1" applyAlignment="1">
      <alignment horizontal="left" vertical="top" wrapText="1"/>
    </xf>
    <xf numFmtId="164" fontId="4" fillId="4" borderId="1" xfId="0" applyNumberFormat="1" applyFont="1" applyFill="1" applyBorder="1" applyAlignment="1">
      <alignment horizontal="right" vertical="center"/>
    </xf>
    <xf numFmtId="165" fontId="4" fillId="4" borderId="1" xfId="0" applyNumberFormat="1" applyFont="1" applyFill="1" applyBorder="1" applyAlignment="1">
      <alignment horizontal="right" vertical="center"/>
    </xf>
    <xf numFmtId="166" fontId="4" fillId="4" borderId="1" xfId="0" applyNumberFormat="1" applyFont="1" applyFill="1" applyBorder="1" applyAlignment="1">
      <alignment horizontal="right" vertical="center"/>
    </xf>
    <xf numFmtId="3" fontId="4" fillId="4" borderId="1" xfId="0" applyNumberFormat="1" applyFont="1" applyFill="1" applyBorder="1" applyAlignment="1">
      <alignment horizontal="right" vertical="center"/>
    </xf>
    <xf numFmtId="0" fontId="5" fillId="5" borderId="1" xfId="0" applyFont="1" applyFill="1" applyBorder="1"/>
    <xf numFmtId="164" fontId="5" fillId="5" borderId="1" xfId="0" applyNumberFormat="1" applyFont="1" applyFill="1" applyBorder="1" applyAlignment="1">
      <alignment horizontal="right" vertical="center"/>
    </xf>
    <xf numFmtId="165" fontId="5" fillId="5" borderId="1" xfId="0" applyNumberFormat="1" applyFont="1" applyFill="1" applyBorder="1" applyAlignment="1">
      <alignment horizontal="right" vertical="center"/>
    </xf>
    <xf numFmtId="166" fontId="5" fillId="5" borderId="1" xfId="0" applyNumberFormat="1" applyFont="1" applyFill="1" applyBorder="1" applyAlignment="1">
      <alignment horizontal="right" vertical="center"/>
    </xf>
    <xf numFmtId="0" fontId="6" fillId="0" borderId="0" xfId="0" applyFont="1"/>
    <xf numFmtId="0" fontId="4" fillId="0" borderId="0" xfId="0" applyFont="1"/>
    <xf numFmtId="3" fontId="7" fillId="6" borderId="1" xfId="0" applyNumberFormat="1" applyFont="1" applyFill="1" applyBorder="1"/>
    <xf numFmtId="167" fontId="7" fillId="6" borderId="1" xfId="0" applyNumberFormat="1" applyFont="1" applyFill="1" applyBorder="1"/>
    <xf numFmtId="0" fontId="8" fillId="0" borderId="0" xfId="0" applyFont="1"/>
    <xf numFmtId="3" fontId="5" fillId="5" borderId="1" xfId="0" applyNumberFormat="1" applyFont="1" applyFill="1" applyBorder="1" applyAlignment="1">
      <alignment horizontal="right" vertical="center"/>
    </xf>
    <xf numFmtId="0" fontId="1" fillId="0" borderId="0" xfId="0" applyFont="1"/>
    <xf numFmtId="0" fontId="0" fillId="0" borderId="0" xfId="0"/>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6"/>
  <sheetViews>
    <sheetView showGridLines="0" workbookViewId="0">
      <pane ySplit="4" topLeftCell="A5" activePane="bottomLeft" state="frozen"/>
      <selection pane="bottomLeft" activeCell="F52" sqref="F52"/>
    </sheetView>
  </sheetViews>
  <sheetFormatPr defaultRowHeight="14.4" x14ac:dyDescent="0.3"/>
  <cols>
    <col min="1" max="1" width="8" customWidth="1"/>
    <col min="2" max="2" width="26" customWidth="1"/>
    <col min="3" max="3" width="11" customWidth="1"/>
    <col min="4" max="4" width="15" customWidth="1"/>
    <col min="5" max="5" width="20" customWidth="1"/>
    <col min="6" max="6" width="55" customWidth="1"/>
    <col min="7" max="7" width="13" customWidth="1"/>
    <col min="8" max="9" width="12" customWidth="1"/>
    <col min="10" max="11" width="11" customWidth="1"/>
    <col min="12" max="12" width="13" customWidth="1"/>
    <col min="13" max="13" width="12" customWidth="1"/>
    <col min="14" max="14" width="8" customWidth="1"/>
    <col min="15" max="17" width="11" customWidth="1"/>
    <col min="18" max="18" width="10" customWidth="1"/>
    <col min="19" max="21" width="11" customWidth="1"/>
  </cols>
  <sheetData>
    <row r="1" spans="1:21" ht="25.95" customHeight="1" x14ac:dyDescent="0.3">
      <c r="A1" s="24" t="s">
        <v>0</v>
      </c>
      <c r="B1" s="25"/>
      <c r="C1" s="25"/>
      <c r="D1" s="25"/>
      <c r="E1" s="25"/>
      <c r="F1" s="25"/>
      <c r="G1" s="25"/>
      <c r="H1" s="25"/>
      <c r="I1" s="25"/>
      <c r="J1" s="25"/>
      <c r="K1" s="25"/>
      <c r="L1" s="25"/>
      <c r="M1" s="25"/>
      <c r="N1" s="25"/>
      <c r="O1" s="25"/>
      <c r="P1" s="25"/>
      <c r="Q1" s="25"/>
      <c r="R1" s="25"/>
      <c r="S1" s="25"/>
      <c r="T1" s="25"/>
      <c r="U1" s="25"/>
    </row>
    <row r="2" spans="1:21" ht="16.05" customHeight="1" x14ac:dyDescent="0.3">
      <c r="A2" s="26" t="s">
        <v>1</v>
      </c>
      <c r="B2" s="25"/>
      <c r="C2" s="25"/>
      <c r="D2" s="25"/>
      <c r="E2" s="25"/>
      <c r="F2" s="25"/>
      <c r="G2" s="25"/>
      <c r="H2" s="25"/>
      <c r="I2" s="25"/>
      <c r="J2" s="25"/>
      <c r="K2" s="25"/>
      <c r="L2" s="25"/>
      <c r="M2" s="25"/>
      <c r="N2" s="25"/>
      <c r="O2" s="25"/>
      <c r="P2" s="25"/>
      <c r="Q2" s="25"/>
      <c r="R2" s="25"/>
      <c r="S2" s="25"/>
      <c r="T2" s="25"/>
      <c r="U2" s="25"/>
    </row>
    <row r="3" spans="1:21" ht="6" customHeight="1" x14ac:dyDescent="0.3"/>
    <row r="4" spans="1:21" ht="30" customHeight="1" x14ac:dyDescent="0.3">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row>
    <row r="5" spans="1:21" ht="42" customHeight="1" x14ac:dyDescent="0.3">
      <c r="A5" s="2" t="s">
        <v>23</v>
      </c>
      <c r="B5" s="2" t="s">
        <v>24</v>
      </c>
      <c r="C5" s="2" t="s">
        <v>25</v>
      </c>
      <c r="D5" s="2" t="s">
        <v>26</v>
      </c>
      <c r="E5" s="2" t="s">
        <v>27</v>
      </c>
      <c r="F5" s="3" t="s">
        <v>28</v>
      </c>
      <c r="G5" s="4">
        <v>447567</v>
      </c>
      <c r="H5" s="4">
        <v>21625</v>
      </c>
      <c r="I5" s="4">
        <v>12056</v>
      </c>
      <c r="J5" s="4">
        <v>83004</v>
      </c>
      <c r="K5" s="4">
        <v>28121</v>
      </c>
      <c r="L5" s="4">
        <v>260031</v>
      </c>
      <c r="M5" s="4">
        <v>322502</v>
      </c>
      <c r="N5" s="5">
        <v>21.6</v>
      </c>
      <c r="O5" s="6">
        <v>12.3</v>
      </c>
      <c r="P5" s="7">
        <v>390000</v>
      </c>
      <c r="Q5" s="6">
        <f t="shared" ref="Q5:Q52" si="0">IF(G5&gt;0,H5/G5*100,"")</f>
        <v>4.8316788324429636</v>
      </c>
      <c r="R5" s="6">
        <f t="shared" ref="R5:R52" si="1">IF(G5&gt;0,I5/G5*100,"")</f>
        <v>2.6936749134766416</v>
      </c>
      <c r="S5" s="6">
        <v>18.5</v>
      </c>
      <c r="T5" s="5">
        <f t="shared" ref="T5:T52" si="2">IF(G5&gt;0,M5/G5,"")</f>
        <v>0.72056697656440261</v>
      </c>
      <c r="U5" s="5">
        <f t="shared" ref="U5:U52" si="3">IF(H5&gt;0,M5/H5,"")</f>
        <v>14.913387283236995</v>
      </c>
    </row>
    <row r="6" spans="1:21" ht="42" customHeight="1" x14ac:dyDescent="0.3">
      <c r="A6" s="8" t="s">
        <v>29</v>
      </c>
      <c r="B6" s="8" t="s">
        <v>30</v>
      </c>
      <c r="C6" s="8" t="s">
        <v>25</v>
      </c>
      <c r="D6" s="8" t="s">
        <v>26</v>
      </c>
      <c r="E6" s="8" t="s">
        <v>27</v>
      </c>
      <c r="F6" s="9" t="s">
        <v>31</v>
      </c>
      <c r="G6" s="10">
        <v>399834</v>
      </c>
      <c r="H6" s="10">
        <v>14625</v>
      </c>
      <c r="I6" s="10">
        <v>1768</v>
      </c>
      <c r="J6" s="10">
        <v>79950</v>
      </c>
      <c r="K6" s="10">
        <v>10598</v>
      </c>
      <c r="L6" s="10">
        <v>99130.7</v>
      </c>
      <c r="M6" s="10">
        <v>168650.7</v>
      </c>
      <c r="N6" s="11">
        <v>56.1</v>
      </c>
      <c r="O6" s="12">
        <v>8.4</v>
      </c>
      <c r="P6" s="13">
        <v>219000</v>
      </c>
      <c r="Q6" s="12">
        <f t="shared" si="0"/>
        <v>3.6577679737090891</v>
      </c>
      <c r="R6" s="12">
        <f t="shared" si="1"/>
        <v>0.44218350615505431</v>
      </c>
      <c r="S6" s="12">
        <v>13.3</v>
      </c>
      <c r="T6" s="11">
        <f t="shared" si="2"/>
        <v>0.42180179774606463</v>
      </c>
      <c r="U6" s="11">
        <f t="shared" si="3"/>
        <v>11.531671794871796</v>
      </c>
    </row>
    <row r="7" spans="1:21" ht="42" customHeight="1" x14ac:dyDescent="0.3">
      <c r="A7" s="2" t="s">
        <v>32</v>
      </c>
      <c r="B7" s="2" t="s">
        <v>33</v>
      </c>
      <c r="C7" s="2" t="s">
        <v>25</v>
      </c>
      <c r="D7" s="2" t="s">
        <v>26</v>
      </c>
      <c r="E7" s="2" t="s">
        <v>27</v>
      </c>
      <c r="F7" s="3" t="s">
        <v>34</v>
      </c>
      <c r="G7" s="4">
        <v>274900</v>
      </c>
      <c r="H7" s="4">
        <v>12047</v>
      </c>
      <c r="I7" s="4">
        <v>5957</v>
      </c>
      <c r="J7" s="4">
        <v>31463</v>
      </c>
      <c r="K7" s="4">
        <v>8732</v>
      </c>
      <c r="L7" s="4">
        <v>72559.399999999994</v>
      </c>
      <c r="M7" s="4">
        <v>94474.2</v>
      </c>
      <c r="N7" s="5">
        <v>12.2</v>
      </c>
      <c r="O7" s="6">
        <v>10.4</v>
      </c>
      <c r="P7" s="7">
        <v>65669</v>
      </c>
      <c r="Q7" s="6">
        <f t="shared" si="0"/>
        <v>4.3823208439432522</v>
      </c>
      <c r="R7" s="6">
        <f t="shared" si="1"/>
        <v>2.1669698072026193</v>
      </c>
      <c r="S7" s="6">
        <v>9.3000000000000007</v>
      </c>
      <c r="T7" s="5">
        <f t="shared" si="2"/>
        <v>0.34366751546016733</v>
      </c>
      <c r="U7" s="5">
        <f t="shared" si="3"/>
        <v>7.8421349713621646</v>
      </c>
    </row>
    <row r="8" spans="1:21" ht="42" customHeight="1" x14ac:dyDescent="0.3">
      <c r="A8" s="8" t="s">
        <v>35</v>
      </c>
      <c r="B8" s="8" t="s">
        <v>36</v>
      </c>
      <c r="C8" s="8" t="s">
        <v>25</v>
      </c>
      <c r="D8" s="8" t="s">
        <v>26</v>
      </c>
      <c r="E8" s="8" t="s">
        <v>27</v>
      </c>
      <c r="F8" s="9" t="s">
        <v>37</v>
      </c>
      <c r="G8" s="10">
        <v>199126</v>
      </c>
      <c r="H8" s="10">
        <v>9040</v>
      </c>
      <c r="I8" s="10">
        <v>5662</v>
      </c>
      <c r="J8" s="10">
        <v>32750</v>
      </c>
      <c r="K8" s="10">
        <v>36115</v>
      </c>
      <c r="L8" s="10">
        <v>63924.9</v>
      </c>
      <c r="M8" s="10">
        <v>60703.9</v>
      </c>
      <c r="N8" s="11">
        <v>11.5</v>
      </c>
      <c r="O8" s="12">
        <v>9.5</v>
      </c>
      <c r="P8" s="13">
        <v>96129</v>
      </c>
      <c r="Q8" s="12">
        <f t="shared" si="0"/>
        <v>4.5398390968532487</v>
      </c>
      <c r="R8" s="12">
        <f t="shared" si="1"/>
        <v>2.8434257706175989</v>
      </c>
      <c r="S8" s="12">
        <v>25.6</v>
      </c>
      <c r="T8" s="11">
        <f t="shared" si="2"/>
        <v>0.30485170193746675</v>
      </c>
      <c r="U8" s="11">
        <f t="shared" si="3"/>
        <v>6.7150331858407082</v>
      </c>
    </row>
    <row r="9" spans="1:21" ht="42" customHeight="1" x14ac:dyDescent="0.3">
      <c r="A9" s="2" t="s">
        <v>38</v>
      </c>
      <c r="B9" s="2" t="s">
        <v>39</v>
      </c>
      <c r="C9" s="2" t="s">
        <v>25</v>
      </c>
      <c r="D9" s="2" t="s">
        <v>26</v>
      </c>
      <c r="E9" s="2" t="s">
        <v>27</v>
      </c>
      <c r="F9" s="3" t="s">
        <v>40</v>
      </c>
      <c r="G9" s="4">
        <v>176151</v>
      </c>
      <c r="H9" s="4">
        <v>2561</v>
      </c>
      <c r="I9" s="4">
        <v>-6674</v>
      </c>
      <c r="J9" s="4">
        <v>18162</v>
      </c>
      <c r="K9" s="4">
        <v>20320</v>
      </c>
      <c r="L9" s="4">
        <v>21465.8</v>
      </c>
      <c r="M9" s="4">
        <v>19410.8</v>
      </c>
      <c r="N9" s="5"/>
      <c r="O9" s="6">
        <v>23.2</v>
      </c>
      <c r="P9" s="7">
        <v>61100</v>
      </c>
      <c r="Q9" s="6">
        <f t="shared" si="0"/>
        <v>1.4538662851757866</v>
      </c>
      <c r="R9" s="6">
        <f t="shared" si="1"/>
        <v>-3.7887948407900036</v>
      </c>
      <c r="S9" s="6">
        <v>10.5</v>
      </c>
      <c r="T9" s="5">
        <f t="shared" si="2"/>
        <v>0.11019409483908692</v>
      </c>
      <c r="U9" s="5">
        <f t="shared" si="3"/>
        <v>7.5793830534947286</v>
      </c>
    </row>
    <row r="10" spans="1:21" ht="42" customHeight="1" x14ac:dyDescent="0.3">
      <c r="A10" s="8" t="s">
        <v>41</v>
      </c>
      <c r="B10" s="8" t="s">
        <v>42</v>
      </c>
      <c r="C10" s="8" t="s">
        <v>25</v>
      </c>
      <c r="D10" s="8" t="s">
        <v>26</v>
      </c>
      <c r="E10" s="8" t="s">
        <v>27</v>
      </c>
      <c r="F10" s="9" t="s">
        <v>43</v>
      </c>
      <c r="G10" s="10">
        <v>129664</v>
      </c>
      <c r="H10" s="10">
        <v>3569</v>
      </c>
      <c r="I10" s="10">
        <v>1188</v>
      </c>
      <c r="J10" s="10">
        <v>13270</v>
      </c>
      <c r="K10" s="10">
        <v>19903</v>
      </c>
      <c r="L10" s="10">
        <v>21604.799999999999</v>
      </c>
      <c r="M10" s="10">
        <v>15051.8</v>
      </c>
      <c r="N10" s="11">
        <v>18.2</v>
      </c>
      <c r="O10" s="12">
        <v>11.3</v>
      </c>
      <c r="P10" s="13">
        <v>67060</v>
      </c>
      <c r="Q10" s="12">
        <f t="shared" si="0"/>
        <v>2.752498766041461</v>
      </c>
      <c r="R10" s="12">
        <f t="shared" si="1"/>
        <v>0.91621421520236923</v>
      </c>
      <c r="S10" s="12">
        <v>14.5</v>
      </c>
      <c r="T10" s="11">
        <f t="shared" si="2"/>
        <v>0.11608310710760118</v>
      </c>
      <c r="U10" s="11">
        <f t="shared" si="3"/>
        <v>4.2173718128327264</v>
      </c>
    </row>
    <row r="11" spans="1:21" ht="42" customHeight="1" x14ac:dyDescent="0.3">
      <c r="A11" s="2" t="s">
        <v>44</v>
      </c>
      <c r="B11" s="2" t="s">
        <v>45</v>
      </c>
      <c r="C11" s="2" t="s">
        <v>25</v>
      </c>
      <c r="D11" s="2" t="s">
        <v>26</v>
      </c>
      <c r="E11" s="2" t="s">
        <v>46</v>
      </c>
      <c r="F11" s="3" t="s">
        <v>47</v>
      </c>
      <c r="G11" s="4">
        <v>94193</v>
      </c>
      <c r="H11" s="4">
        <v>33836</v>
      </c>
      <c r="I11" s="4">
        <v>26804</v>
      </c>
      <c r="J11" s="4">
        <v>49333</v>
      </c>
      <c r="K11" s="4">
        <v>20102</v>
      </c>
      <c r="L11" s="4">
        <v>579339.69999999995</v>
      </c>
      <c r="M11" s="4">
        <v>608570.69999999995</v>
      </c>
      <c r="N11" s="5">
        <v>21.8</v>
      </c>
      <c r="O11" s="6">
        <v>9.1</v>
      </c>
      <c r="P11" s="7">
        <v>138200</v>
      </c>
      <c r="Q11" s="6">
        <f t="shared" si="0"/>
        <v>35.921989956790846</v>
      </c>
      <c r="R11" s="6">
        <f t="shared" si="1"/>
        <v>28.456467041075239</v>
      </c>
      <c r="S11" s="6">
        <v>68.099999999999994</v>
      </c>
      <c r="T11" s="5">
        <f t="shared" si="2"/>
        <v>6.4608909366938088</v>
      </c>
      <c r="U11" s="5">
        <f t="shared" si="3"/>
        <v>17.985893722662251</v>
      </c>
    </row>
    <row r="12" spans="1:21" ht="42" customHeight="1" x14ac:dyDescent="0.3">
      <c r="A12" s="8" t="s">
        <v>48</v>
      </c>
      <c r="B12" s="8" t="s">
        <v>49</v>
      </c>
      <c r="C12" s="8" t="s">
        <v>25</v>
      </c>
      <c r="D12" s="8" t="s">
        <v>50</v>
      </c>
      <c r="E12" s="8" t="s">
        <v>51</v>
      </c>
      <c r="F12" s="9" t="s">
        <v>52</v>
      </c>
      <c r="G12" s="10">
        <v>77079</v>
      </c>
      <c r="H12" s="10">
        <v>5962</v>
      </c>
      <c r="I12" s="10">
        <v>3173</v>
      </c>
      <c r="J12" s="10">
        <v>65354</v>
      </c>
      <c r="K12" s="10">
        <v>25633</v>
      </c>
      <c r="L12" s="10">
        <v>47328.2</v>
      </c>
      <c r="M12" s="10">
        <v>87081</v>
      </c>
      <c r="N12" s="11">
        <v>15.3</v>
      </c>
      <c r="O12" s="12">
        <v>27.6</v>
      </c>
      <c r="P12" s="13">
        <v>46000</v>
      </c>
      <c r="Q12" s="12">
        <f t="shared" si="0"/>
        <v>7.7349213144955176</v>
      </c>
      <c r="R12" s="12">
        <f t="shared" si="1"/>
        <v>4.1165557415119558</v>
      </c>
      <c r="S12" s="12">
        <v>23.4</v>
      </c>
      <c r="T12" s="11">
        <f t="shared" si="2"/>
        <v>1.1297629704588799</v>
      </c>
      <c r="U12" s="11">
        <f t="shared" si="3"/>
        <v>14.606004696410601</v>
      </c>
    </row>
    <row r="13" spans="1:21" ht="42" customHeight="1" x14ac:dyDescent="0.3">
      <c r="A13" s="2" t="s">
        <v>53</v>
      </c>
      <c r="B13" s="2" t="s">
        <v>54</v>
      </c>
      <c r="C13" s="2" t="s">
        <v>25</v>
      </c>
      <c r="D13" s="2" t="s">
        <v>26</v>
      </c>
      <c r="E13" s="2" t="s">
        <v>55</v>
      </c>
      <c r="F13" s="3" t="s">
        <v>56</v>
      </c>
      <c r="G13" s="4">
        <v>75600</v>
      </c>
      <c r="H13" s="4">
        <v>15488</v>
      </c>
      <c r="I13" s="4">
        <v>6784</v>
      </c>
      <c r="J13" s="4">
        <v>48697</v>
      </c>
      <c r="K13" s="4">
        <v>1143</v>
      </c>
      <c r="L13" s="4">
        <v>119148.2</v>
      </c>
      <c r="M13" s="4">
        <v>169958.1</v>
      </c>
      <c r="N13" s="5">
        <v>18.8</v>
      </c>
      <c r="O13" s="6">
        <v>6.7</v>
      </c>
      <c r="P13" s="7">
        <v>230000</v>
      </c>
      <c r="Q13" s="6">
        <f t="shared" si="0"/>
        <v>20.486772486772487</v>
      </c>
      <c r="R13" s="6">
        <f t="shared" si="1"/>
        <v>8.973544973544973</v>
      </c>
      <c r="S13" s="6">
        <v>41.5</v>
      </c>
      <c r="T13" s="5">
        <f t="shared" si="2"/>
        <v>2.2481230158730159</v>
      </c>
      <c r="U13" s="5">
        <f t="shared" si="3"/>
        <v>10.973534349173555</v>
      </c>
    </row>
    <row r="14" spans="1:21" ht="42" customHeight="1" x14ac:dyDescent="0.3">
      <c r="A14" s="8" t="s">
        <v>57</v>
      </c>
      <c r="B14" s="8" t="s">
        <v>58</v>
      </c>
      <c r="C14" s="8" t="s">
        <v>25</v>
      </c>
      <c r="D14" s="8" t="s">
        <v>50</v>
      </c>
      <c r="E14" s="8" t="s">
        <v>51</v>
      </c>
      <c r="F14" s="9" t="s">
        <v>59</v>
      </c>
      <c r="G14" s="10">
        <v>61233</v>
      </c>
      <c r="H14" s="10">
        <v>5243</v>
      </c>
      <c r="I14" s="10">
        <v>3535</v>
      </c>
      <c r="J14" s="10">
        <v>44292</v>
      </c>
      <c r="K14" s="10">
        <v>40995</v>
      </c>
      <c r="L14" s="10">
        <v>33797.800000000003</v>
      </c>
      <c r="M14" s="10">
        <v>40237.800000000003</v>
      </c>
      <c r="N14" s="11">
        <v>9.6999999999999993</v>
      </c>
      <c r="O14" s="12">
        <v>31.2</v>
      </c>
      <c r="P14" s="13">
        <v>36607</v>
      </c>
      <c r="Q14" s="12">
        <f t="shared" si="0"/>
        <v>8.5623764963336768</v>
      </c>
      <c r="R14" s="12">
        <f t="shared" si="1"/>
        <v>5.7730308820407297</v>
      </c>
      <c r="S14" s="12">
        <v>29.6</v>
      </c>
      <c r="T14" s="11">
        <f t="shared" si="2"/>
        <v>0.65712605947773262</v>
      </c>
      <c r="U14" s="11">
        <f t="shared" si="3"/>
        <v>7.6745756246423813</v>
      </c>
    </row>
    <row r="15" spans="1:21" ht="42" customHeight="1" x14ac:dyDescent="0.3">
      <c r="A15" s="2" t="s">
        <v>60</v>
      </c>
      <c r="B15" s="2" t="s">
        <v>61</v>
      </c>
      <c r="C15" s="2" t="s">
        <v>25</v>
      </c>
      <c r="D15" s="2" t="s">
        <v>26</v>
      </c>
      <c r="E15" s="2" t="s">
        <v>46</v>
      </c>
      <c r="F15" s="3" t="s">
        <v>62</v>
      </c>
      <c r="G15" s="4">
        <v>48194</v>
      </c>
      <c r="H15" s="4">
        <v>19116</v>
      </c>
      <c r="I15" s="4">
        <v>7054</v>
      </c>
      <c r="J15" s="4">
        <v>47187</v>
      </c>
      <c r="K15" s="4">
        <v>10673</v>
      </c>
      <c r="L15" s="4">
        <v>122779</v>
      </c>
      <c r="M15" s="4">
        <v>159326</v>
      </c>
      <c r="N15" s="5">
        <v>17.399999999999999</v>
      </c>
      <c r="O15" s="6">
        <v>1.3</v>
      </c>
      <c r="P15" s="7">
        <v>32500</v>
      </c>
      <c r="Q15" s="6">
        <f t="shared" si="0"/>
        <v>39.664688550441966</v>
      </c>
      <c r="R15" s="6">
        <f t="shared" si="1"/>
        <v>14.636676764742498</v>
      </c>
      <c r="S15" s="6">
        <v>72.599999999999994</v>
      </c>
      <c r="T15" s="5">
        <f t="shared" si="2"/>
        <v>3.3059301987799312</v>
      </c>
      <c r="U15" s="5">
        <f t="shared" si="3"/>
        <v>8.3346934505126598</v>
      </c>
    </row>
    <row r="16" spans="1:21" ht="42" customHeight="1" x14ac:dyDescent="0.3">
      <c r="A16" s="8" t="s">
        <v>63</v>
      </c>
      <c r="B16" s="8" t="s">
        <v>64</v>
      </c>
      <c r="C16" s="8" t="s">
        <v>25</v>
      </c>
      <c r="D16" s="8" t="s">
        <v>26</v>
      </c>
      <c r="E16" s="8" t="s">
        <v>65</v>
      </c>
      <c r="F16" s="9" t="s">
        <v>66</v>
      </c>
      <c r="G16" s="10">
        <v>44328</v>
      </c>
      <c r="H16" s="10">
        <v>12033</v>
      </c>
      <c r="I16" s="10">
        <v>6500</v>
      </c>
      <c r="J16" s="10">
        <v>14136</v>
      </c>
      <c r="K16" s="10">
        <v>8939</v>
      </c>
      <c r="L16" s="10">
        <v>190380.5</v>
      </c>
      <c r="M16" s="10">
        <v>196218.5</v>
      </c>
      <c r="N16" s="11">
        <v>29.4</v>
      </c>
      <c r="O16" s="12">
        <v>4.4000000000000004</v>
      </c>
      <c r="P16" s="13">
        <v>115000</v>
      </c>
      <c r="Q16" s="12">
        <f t="shared" si="0"/>
        <v>27.145370871683809</v>
      </c>
      <c r="R16" s="12">
        <f t="shared" si="1"/>
        <v>14.663418155567587</v>
      </c>
      <c r="S16" s="12">
        <v>56.7</v>
      </c>
      <c r="T16" s="11">
        <f t="shared" si="2"/>
        <v>4.4265137159357515</v>
      </c>
      <c r="U16" s="11">
        <f t="shared" si="3"/>
        <v>16.306698246488821</v>
      </c>
    </row>
    <row r="17" spans="1:21" ht="42" customHeight="1" x14ac:dyDescent="0.3">
      <c r="A17" s="2" t="s">
        <v>67</v>
      </c>
      <c r="B17" s="2" t="s">
        <v>68</v>
      </c>
      <c r="C17" s="2" t="s">
        <v>25</v>
      </c>
      <c r="D17" s="2" t="s">
        <v>26</v>
      </c>
      <c r="E17" s="2" t="s">
        <v>27</v>
      </c>
      <c r="F17" s="3" t="s">
        <v>69</v>
      </c>
      <c r="G17" s="4">
        <v>43563</v>
      </c>
      <c r="H17" s="4">
        <v>902</v>
      </c>
      <c r="I17" s="4">
        <v>472</v>
      </c>
      <c r="J17" s="4">
        <v>4046</v>
      </c>
      <c r="K17" s="4">
        <v>8256</v>
      </c>
      <c r="L17" s="4">
        <v>7440.2</v>
      </c>
      <c r="M17" s="4">
        <v>3230.2</v>
      </c>
      <c r="N17" s="5">
        <v>16.2</v>
      </c>
      <c r="O17" s="6">
        <v>7.1</v>
      </c>
      <c r="P17" s="7">
        <v>19000</v>
      </c>
      <c r="Q17" s="6">
        <f t="shared" si="0"/>
        <v>2.0705644698482657</v>
      </c>
      <c r="R17" s="6">
        <f t="shared" si="1"/>
        <v>1.0834882813396689</v>
      </c>
      <c r="S17" s="6">
        <v>9.4</v>
      </c>
      <c r="T17" s="5">
        <f t="shared" si="2"/>
        <v>7.4150081491173692E-2</v>
      </c>
      <c r="U17" s="5">
        <f t="shared" si="3"/>
        <v>3.5811529933481152</v>
      </c>
    </row>
    <row r="18" spans="1:21" ht="42" customHeight="1" x14ac:dyDescent="0.3">
      <c r="A18" s="8" t="s">
        <v>70</v>
      </c>
      <c r="B18" s="8" t="s">
        <v>71</v>
      </c>
      <c r="C18" s="8" t="s">
        <v>25</v>
      </c>
      <c r="D18" s="8" t="s">
        <v>26</v>
      </c>
      <c r="E18" s="8" t="s">
        <v>46</v>
      </c>
      <c r="F18" s="9" t="s">
        <v>72</v>
      </c>
      <c r="G18" s="10">
        <v>36751</v>
      </c>
      <c r="H18" s="10">
        <v>16617</v>
      </c>
      <c r="I18" s="10">
        <v>7711</v>
      </c>
      <c r="J18" s="10">
        <v>55435</v>
      </c>
      <c r="K18" s="10">
        <v>9129</v>
      </c>
      <c r="L18" s="10">
        <v>199201.7</v>
      </c>
      <c r="M18" s="10">
        <v>245507.7</v>
      </c>
      <c r="N18" s="11">
        <v>26</v>
      </c>
      <c r="O18" s="12">
        <v>8.6</v>
      </c>
      <c r="P18" s="13">
        <v>31500</v>
      </c>
      <c r="Q18" s="12">
        <f t="shared" si="0"/>
        <v>45.215096187858833</v>
      </c>
      <c r="R18" s="12">
        <f t="shared" si="1"/>
        <v>20.981741993415145</v>
      </c>
      <c r="S18" s="12">
        <v>70.8</v>
      </c>
      <c r="T18" s="11">
        <f t="shared" si="2"/>
        <v>6.6802998557862372</v>
      </c>
      <c r="U18" s="11">
        <f t="shared" si="3"/>
        <v>14.774489980140821</v>
      </c>
    </row>
    <row r="19" spans="1:21" ht="42" customHeight="1" x14ac:dyDescent="0.3">
      <c r="A19" s="2" t="s">
        <v>73</v>
      </c>
      <c r="B19" s="2" t="s">
        <v>74</v>
      </c>
      <c r="C19" s="2" t="s">
        <v>75</v>
      </c>
      <c r="D19" s="2" t="s">
        <v>26</v>
      </c>
      <c r="E19" s="2" t="s">
        <v>65</v>
      </c>
      <c r="F19" s="3" t="s">
        <v>76</v>
      </c>
      <c r="G19" s="4">
        <v>35484</v>
      </c>
      <c r="H19" s="4">
        <v>9440</v>
      </c>
      <c r="I19" s="4">
        <v>4613</v>
      </c>
      <c r="J19" s="4">
        <v>28071</v>
      </c>
      <c r="K19" s="4">
        <v>8383</v>
      </c>
      <c r="L19" s="4">
        <v>116705.1</v>
      </c>
      <c r="M19" s="4">
        <v>136604.1</v>
      </c>
      <c r="N19" s="5">
        <v>25.4</v>
      </c>
      <c r="O19" s="6">
        <v>8.6999999999999993</v>
      </c>
      <c r="P19" s="7">
        <v>95000</v>
      </c>
      <c r="Q19" s="6">
        <f t="shared" si="0"/>
        <v>26.603539623492278</v>
      </c>
      <c r="R19" s="6">
        <f t="shared" si="1"/>
        <v>13.000225453725623</v>
      </c>
      <c r="S19" s="6">
        <v>65.2</v>
      </c>
      <c r="T19" s="5">
        <f t="shared" si="2"/>
        <v>3.8497379100439635</v>
      </c>
      <c r="U19" s="5">
        <f t="shared" si="3"/>
        <v>14.470773305084746</v>
      </c>
    </row>
    <row r="20" spans="1:21" ht="42" customHeight="1" x14ac:dyDescent="0.3">
      <c r="A20" s="8" t="s">
        <v>77</v>
      </c>
      <c r="B20" s="8" t="s">
        <v>78</v>
      </c>
      <c r="C20" s="8" t="s">
        <v>25</v>
      </c>
      <c r="D20" s="8" t="s">
        <v>50</v>
      </c>
      <c r="E20" s="8" t="s">
        <v>79</v>
      </c>
      <c r="F20" s="9" t="s">
        <v>80</v>
      </c>
      <c r="G20" s="10">
        <v>28376</v>
      </c>
      <c r="H20" s="10">
        <v>5232</v>
      </c>
      <c r="I20" s="10">
        <v>3815</v>
      </c>
      <c r="J20" s="10">
        <v>4543</v>
      </c>
      <c r="K20" s="10">
        <v>4486</v>
      </c>
      <c r="L20" s="10">
        <v>38836.9</v>
      </c>
      <c r="M20" s="10">
        <v>38805</v>
      </c>
      <c r="N20" s="11">
        <v>10.4</v>
      </c>
      <c r="O20" s="12">
        <v>6.7</v>
      </c>
      <c r="P20" s="13">
        <v>19200</v>
      </c>
      <c r="Q20" s="12">
        <f t="shared" si="0"/>
        <v>18.438116718353541</v>
      </c>
      <c r="R20" s="12">
        <f t="shared" si="1"/>
        <v>13.444460107132789</v>
      </c>
      <c r="S20" s="12">
        <v>37.4</v>
      </c>
      <c r="T20" s="11">
        <f t="shared" si="2"/>
        <v>1.3675288976599944</v>
      </c>
      <c r="U20" s="11">
        <f t="shared" si="3"/>
        <v>7.4168577981651378</v>
      </c>
    </row>
    <row r="21" spans="1:21" ht="42" customHeight="1" x14ac:dyDescent="0.3">
      <c r="A21" s="2" t="s">
        <v>81</v>
      </c>
      <c r="B21" s="2" t="s">
        <v>82</v>
      </c>
      <c r="C21" s="2" t="s">
        <v>25</v>
      </c>
      <c r="D21" s="2" t="s">
        <v>50</v>
      </c>
      <c r="E21" s="2" t="s">
        <v>83</v>
      </c>
      <c r="F21" s="3" t="s">
        <v>84</v>
      </c>
      <c r="G21" s="4">
        <v>26453</v>
      </c>
      <c r="H21" s="4">
        <v>7730</v>
      </c>
      <c r="I21" s="4">
        <v>4127</v>
      </c>
      <c r="J21" s="4">
        <v>21426</v>
      </c>
      <c r="K21" s="4">
        <v>2511</v>
      </c>
      <c r="L21" s="4">
        <v>89819.7</v>
      </c>
      <c r="M21" s="4">
        <v>108627.5</v>
      </c>
      <c r="N21" s="5">
        <v>21.9</v>
      </c>
      <c r="O21" s="6">
        <v>11.5</v>
      </c>
      <c r="P21" s="7">
        <v>90000</v>
      </c>
      <c r="Q21" s="6">
        <f t="shared" si="0"/>
        <v>29.221638377499715</v>
      </c>
      <c r="R21" s="6">
        <f t="shared" si="1"/>
        <v>15.601255056137301</v>
      </c>
      <c r="S21" s="6">
        <v>44</v>
      </c>
      <c r="T21" s="5">
        <f t="shared" si="2"/>
        <v>4.1064340528484484</v>
      </c>
      <c r="U21" s="5">
        <f t="shared" si="3"/>
        <v>14.052716688227685</v>
      </c>
    </row>
    <row r="22" spans="1:21" ht="42" customHeight="1" x14ac:dyDescent="0.3">
      <c r="A22" s="8" t="s">
        <v>85</v>
      </c>
      <c r="B22" s="8" t="s">
        <v>86</v>
      </c>
      <c r="C22" s="8" t="s">
        <v>25</v>
      </c>
      <c r="D22" s="8" t="s">
        <v>26</v>
      </c>
      <c r="E22" s="8" t="s">
        <v>55</v>
      </c>
      <c r="F22" s="9" t="s">
        <v>87</v>
      </c>
      <c r="G22" s="10">
        <v>21310</v>
      </c>
      <c r="H22" s="10">
        <v>4635</v>
      </c>
      <c r="I22" s="10">
        <v>1407</v>
      </c>
      <c r="J22" s="10">
        <v>14428</v>
      </c>
      <c r="K22" s="10">
        <v>2883</v>
      </c>
      <c r="L22" s="10">
        <v>20824.400000000001</v>
      </c>
      <c r="M22" s="10">
        <v>36903.9</v>
      </c>
      <c r="N22" s="11">
        <v>15.3</v>
      </c>
      <c r="O22" s="12">
        <v>8.9</v>
      </c>
      <c r="P22" s="13">
        <v>77000</v>
      </c>
      <c r="Q22" s="12">
        <f t="shared" si="0"/>
        <v>21.750351947442514</v>
      </c>
      <c r="R22" s="12">
        <f t="shared" si="1"/>
        <v>6.6025340215861092</v>
      </c>
      <c r="S22" s="12">
        <v>41.4</v>
      </c>
      <c r="T22" s="11">
        <f t="shared" si="2"/>
        <v>1.7317644298451431</v>
      </c>
      <c r="U22" s="11">
        <f t="shared" si="3"/>
        <v>7.9620064724919093</v>
      </c>
    </row>
    <row r="23" spans="1:21" ht="42" customHeight="1" x14ac:dyDescent="0.3">
      <c r="A23" s="2" t="s">
        <v>88</v>
      </c>
      <c r="B23" s="2" t="s">
        <v>89</v>
      </c>
      <c r="C23" s="2" t="s">
        <v>90</v>
      </c>
      <c r="D23" s="2" t="s">
        <v>50</v>
      </c>
      <c r="E23" s="2" t="s">
        <v>79</v>
      </c>
      <c r="F23" s="3" t="s">
        <v>91</v>
      </c>
      <c r="G23" s="4">
        <v>19929</v>
      </c>
      <c r="H23" s="4">
        <v>5523</v>
      </c>
      <c r="I23" s="4">
        <v>4359</v>
      </c>
      <c r="J23" s="4">
        <v>2885</v>
      </c>
      <c r="K23" s="4">
        <v>3682</v>
      </c>
      <c r="L23" s="4">
        <v>35250.9</v>
      </c>
      <c r="M23" s="4">
        <v>34483.5</v>
      </c>
      <c r="N23" s="5">
        <v>8.4</v>
      </c>
      <c r="O23" s="6">
        <v>8.5</v>
      </c>
      <c r="P23" s="7">
        <v>8000</v>
      </c>
      <c r="Q23" s="6">
        <f t="shared" si="0"/>
        <v>27.713382507903056</v>
      </c>
      <c r="R23" s="6">
        <f t="shared" si="1"/>
        <v>21.872647900045163</v>
      </c>
      <c r="S23" s="6">
        <v>37.200000000000003</v>
      </c>
      <c r="T23" s="5">
        <f t="shared" si="2"/>
        <v>1.7303176275779015</v>
      </c>
      <c r="U23" s="5">
        <f t="shared" si="3"/>
        <v>6.2436175991309071</v>
      </c>
    </row>
    <row r="24" spans="1:21" ht="42" customHeight="1" x14ac:dyDescent="0.3">
      <c r="A24" s="8" t="s">
        <v>92</v>
      </c>
      <c r="B24" s="8" t="s">
        <v>93</v>
      </c>
      <c r="C24" s="8" t="s">
        <v>25</v>
      </c>
      <c r="D24" s="8" t="s">
        <v>26</v>
      </c>
      <c r="E24" s="8" t="s">
        <v>55</v>
      </c>
      <c r="F24" s="9" t="s">
        <v>94</v>
      </c>
      <c r="G24" s="10">
        <v>17364.8</v>
      </c>
      <c r="H24" s="10">
        <v>2612.8000000000002</v>
      </c>
      <c r="I24" s="10">
        <v>1488.8</v>
      </c>
      <c r="J24" s="10">
        <v>5166.5</v>
      </c>
      <c r="K24" s="10">
        <v>137.80000000000001</v>
      </c>
      <c r="L24" s="10">
        <v>11768.3</v>
      </c>
      <c r="M24" s="10">
        <v>16930.7</v>
      </c>
      <c r="N24" s="11">
        <v>8.3000000000000007</v>
      </c>
      <c r="O24" s="12">
        <v>9.1</v>
      </c>
      <c r="P24" s="13">
        <v>78400</v>
      </c>
      <c r="Q24" s="12">
        <f t="shared" si="0"/>
        <v>15.046530913111583</v>
      </c>
      <c r="R24" s="12">
        <f t="shared" si="1"/>
        <v>8.5736662673915056</v>
      </c>
      <c r="S24" s="12">
        <v>43.9</v>
      </c>
      <c r="T24" s="11">
        <f t="shared" si="2"/>
        <v>0.97500115175527513</v>
      </c>
      <c r="U24" s="11">
        <f t="shared" si="3"/>
        <v>6.4799066135946113</v>
      </c>
    </row>
    <row r="25" spans="1:21" ht="42" customHeight="1" x14ac:dyDescent="0.3">
      <c r="A25" s="2" t="s">
        <v>95</v>
      </c>
      <c r="B25" s="2" t="s">
        <v>96</v>
      </c>
      <c r="C25" s="2" t="s">
        <v>75</v>
      </c>
      <c r="D25" s="2" t="s">
        <v>50</v>
      </c>
      <c r="E25" s="2" t="s">
        <v>83</v>
      </c>
      <c r="F25" s="3" t="s">
        <v>97</v>
      </c>
      <c r="G25" s="4">
        <v>17181</v>
      </c>
      <c r="H25" s="4">
        <v>5664</v>
      </c>
      <c r="I25" s="4">
        <v>3695</v>
      </c>
      <c r="J25" s="4">
        <v>16071</v>
      </c>
      <c r="K25" s="4">
        <v>2618</v>
      </c>
      <c r="L25" s="4">
        <v>73207</v>
      </c>
      <c r="M25" s="4">
        <v>86624.1</v>
      </c>
      <c r="N25" s="5">
        <v>20</v>
      </c>
      <c r="O25" s="6">
        <v>3.7</v>
      </c>
      <c r="P25" s="7">
        <v>60000</v>
      </c>
      <c r="Q25" s="6">
        <f t="shared" si="0"/>
        <v>32.966649205517726</v>
      </c>
      <c r="R25" s="6">
        <f t="shared" si="1"/>
        <v>21.506315115534601</v>
      </c>
      <c r="S25" s="6">
        <v>47.2</v>
      </c>
      <c r="T25" s="5">
        <f t="shared" si="2"/>
        <v>5.0418543740178103</v>
      </c>
      <c r="U25" s="5">
        <f t="shared" si="3"/>
        <v>15.293802966101696</v>
      </c>
    </row>
    <row r="26" spans="1:21" ht="42" customHeight="1" x14ac:dyDescent="0.3">
      <c r="A26" s="8" t="s">
        <v>98</v>
      </c>
      <c r="B26" s="8" t="s">
        <v>99</v>
      </c>
      <c r="C26" s="8" t="s">
        <v>25</v>
      </c>
      <c r="D26" s="8" t="s">
        <v>50</v>
      </c>
      <c r="E26" s="8" t="s">
        <v>51</v>
      </c>
      <c r="F26" s="9" t="s">
        <v>100</v>
      </c>
      <c r="G26" s="10">
        <v>17164</v>
      </c>
      <c r="H26" s="10">
        <v>4789</v>
      </c>
      <c r="I26" s="10">
        <v>3646</v>
      </c>
      <c r="J26" s="10">
        <v>12587</v>
      </c>
      <c r="K26" s="10">
        <v>7632</v>
      </c>
      <c r="L26" s="10">
        <v>57466.8</v>
      </c>
      <c r="M26" s="10">
        <v>62421.8</v>
      </c>
      <c r="N26" s="11">
        <v>16.3</v>
      </c>
      <c r="O26" s="12">
        <v>-9.9</v>
      </c>
      <c r="P26" s="13">
        <v>12716</v>
      </c>
      <c r="Q26" s="12">
        <f t="shared" si="0"/>
        <v>27.901421580051274</v>
      </c>
      <c r="R26" s="12">
        <f t="shared" si="1"/>
        <v>21.242134700536006</v>
      </c>
      <c r="S26" s="12">
        <v>46.6</v>
      </c>
      <c r="T26" s="11">
        <f t="shared" si="2"/>
        <v>3.6367862969004894</v>
      </c>
      <c r="U26" s="11">
        <f t="shared" si="3"/>
        <v>13.034412194612655</v>
      </c>
    </row>
    <row r="27" spans="1:21" ht="42" customHeight="1" x14ac:dyDescent="0.3">
      <c r="A27" s="2" t="s">
        <v>101</v>
      </c>
      <c r="B27" s="2" t="s">
        <v>102</v>
      </c>
      <c r="C27" s="2" t="s">
        <v>25</v>
      </c>
      <c r="D27" s="2" t="s">
        <v>26</v>
      </c>
      <c r="E27" s="2" t="s">
        <v>103</v>
      </c>
      <c r="F27" s="3" t="s">
        <v>104</v>
      </c>
      <c r="G27" s="4">
        <v>16310</v>
      </c>
      <c r="H27" s="4">
        <v>2938</v>
      </c>
      <c r="I27" s="4">
        <v>1360</v>
      </c>
      <c r="J27" s="4">
        <v>16305</v>
      </c>
      <c r="K27" s="4">
        <v>2141</v>
      </c>
      <c r="L27" s="4">
        <v>29715.599999999999</v>
      </c>
      <c r="M27" s="4">
        <v>43902</v>
      </c>
      <c r="N27" s="5">
        <v>22.3</v>
      </c>
      <c r="O27" s="6">
        <v>10.3</v>
      </c>
      <c r="P27" s="7">
        <v>93000</v>
      </c>
      <c r="Q27" s="6">
        <f t="shared" si="0"/>
        <v>18.01348865726548</v>
      </c>
      <c r="R27" s="6">
        <f t="shared" si="1"/>
        <v>8.3384426732066217</v>
      </c>
      <c r="S27" s="6">
        <v>33.299999999999997</v>
      </c>
      <c r="T27" s="5">
        <f t="shared" si="2"/>
        <v>2.6917228694052731</v>
      </c>
      <c r="U27" s="5">
        <f t="shared" si="3"/>
        <v>14.942818243703199</v>
      </c>
    </row>
    <row r="28" spans="1:21" ht="42" customHeight="1" x14ac:dyDescent="0.3">
      <c r="A28" s="8" t="s">
        <v>105</v>
      </c>
      <c r="B28" s="8" t="s">
        <v>106</v>
      </c>
      <c r="C28" s="8" t="s">
        <v>25</v>
      </c>
      <c r="D28" s="8" t="s">
        <v>26</v>
      </c>
      <c r="E28" s="8" t="s">
        <v>103</v>
      </c>
      <c r="F28" s="9" t="s">
        <v>107</v>
      </c>
      <c r="G28" s="10">
        <v>13951.7</v>
      </c>
      <c r="H28" s="10">
        <v>2191.6999999999998</v>
      </c>
      <c r="I28" s="10">
        <v>876.5</v>
      </c>
      <c r="J28" s="10">
        <v>6526</v>
      </c>
      <c r="K28" s="10">
        <v>532.29999999999995</v>
      </c>
      <c r="L28" s="10">
        <v>22355.599999999999</v>
      </c>
      <c r="M28" s="10">
        <v>28231.4</v>
      </c>
      <c r="N28" s="11">
        <v>25.8</v>
      </c>
      <c r="O28" s="12">
        <v>5.6</v>
      </c>
      <c r="P28" s="13">
        <v>61770</v>
      </c>
      <c r="Q28" s="12">
        <f t="shared" si="0"/>
        <v>15.709196728714062</v>
      </c>
      <c r="R28" s="12">
        <f t="shared" si="1"/>
        <v>6.2823885261294317</v>
      </c>
      <c r="S28" s="12">
        <v>28.8</v>
      </c>
      <c r="T28" s="11">
        <f t="shared" si="2"/>
        <v>2.023509679823964</v>
      </c>
      <c r="U28" s="11">
        <f t="shared" si="3"/>
        <v>12.881051238764432</v>
      </c>
    </row>
    <row r="29" spans="1:21" ht="42" customHeight="1" x14ac:dyDescent="0.3">
      <c r="A29" s="2" t="s">
        <v>108</v>
      </c>
      <c r="B29" s="2" t="s">
        <v>109</v>
      </c>
      <c r="C29" s="2" t="s">
        <v>25</v>
      </c>
      <c r="D29" s="2" t="s">
        <v>26</v>
      </c>
      <c r="E29" s="2" t="s">
        <v>55</v>
      </c>
      <c r="F29" s="3" t="s">
        <v>110</v>
      </c>
      <c r="G29" s="4">
        <v>13643.1</v>
      </c>
      <c r="H29" s="4">
        <v>2751.2</v>
      </c>
      <c r="I29" s="4">
        <v>721.8</v>
      </c>
      <c r="J29" s="4">
        <v>12874.3</v>
      </c>
      <c r="K29" s="4">
        <v>700.7</v>
      </c>
      <c r="L29" s="4">
        <v>10078.200000000001</v>
      </c>
      <c r="M29" s="4">
        <v>24053.9</v>
      </c>
      <c r="N29" s="5">
        <v>15.9</v>
      </c>
      <c r="O29" s="6">
        <v>9.9</v>
      </c>
      <c r="P29" s="7">
        <v>78000</v>
      </c>
      <c r="Q29" s="6">
        <f t="shared" si="0"/>
        <v>20.165504907242486</v>
      </c>
      <c r="R29" s="6">
        <f t="shared" si="1"/>
        <v>5.2905864502935547</v>
      </c>
      <c r="S29" s="6">
        <v>32.299999999999997</v>
      </c>
      <c r="T29" s="5">
        <f t="shared" si="2"/>
        <v>1.7630817043047402</v>
      </c>
      <c r="U29" s="5">
        <f t="shared" si="3"/>
        <v>8.7430575748764188</v>
      </c>
    </row>
    <row r="30" spans="1:21" ht="42" customHeight="1" x14ac:dyDescent="0.3">
      <c r="A30" s="8" t="s">
        <v>111</v>
      </c>
      <c r="B30" s="8" t="s">
        <v>112</v>
      </c>
      <c r="C30" s="8" t="s">
        <v>25</v>
      </c>
      <c r="D30" s="8" t="s">
        <v>50</v>
      </c>
      <c r="E30" s="8" t="s">
        <v>51</v>
      </c>
      <c r="F30" s="9" t="s">
        <v>113</v>
      </c>
      <c r="G30" s="10">
        <v>13075.5</v>
      </c>
      <c r="H30" s="10">
        <v>1265.3</v>
      </c>
      <c r="I30" s="10">
        <v>738.5</v>
      </c>
      <c r="J30" s="10">
        <v>4115.2</v>
      </c>
      <c r="K30" s="10">
        <v>3174.4</v>
      </c>
      <c r="L30" s="10">
        <v>12302.2</v>
      </c>
      <c r="M30" s="10">
        <v>12980</v>
      </c>
      <c r="N30" s="11">
        <v>17.2</v>
      </c>
      <c r="O30" s="12">
        <v>0.2</v>
      </c>
      <c r="P30" s="13">
        <v>10684</v>
      </c>
      <c r="Q30" s="12">
        <f t="shared" si="0"/>
        <v>9.676876601277197</v>
      </c>
      <c r="R30" s="12">
        <f t="shared" si="1"/>
        <v>5.6479675729417611</v>
      </c>
      <c r="S30" s="12">
        <v>29.3</v>
      </c>
      <c r="T30" s="11">
        <f t="shared" si="2"/>
        <v>0.99269626400520061</v>
      </c>
      <c r="U30" s="11">
        <f t="shared" si="3"/>
        <v>10.258436734371296</v>
      </c>
    </row>
    <row r="31" spans="1:21" ht="42" customHeight="1" x14ac:dyDescent="0.3">
      <c r="A31" s="2" t="s">
        <v>114</v>
      </c>
      <c r="B31" s="2" t="s">
        <v>115</v>
      </c>
      <c r="C31" s="2" t="s">
        <v>25</v>
      </c>
      <c r="D31" s="2" t="s">
        <v>26</v>
      </c>
      <c r="E31" s="2" t="s">
        <v>55</v>
      </c>
      <c r="F31" s="3" t="s">
        <v>116</v>
      </c>
      <c r="G31" s="4">
        <v>12485</v>
      </c>
      <c r="H31" s="4">
        <v>1446</v>
      </c>
      <c r="I31" s="4">
        <v>509</v>
      </c>
      <c r="J31" s="4">
        <v>11043</v>
      </c>
      <c r="K31" s="4">
        <v>260</v>
      </c>
      <c r="L31" s="4">
        <v>464.4</v>
      </c>
      <c r="M31" s="4">
        <v>11788.4</v>
      </c>
      <c r="N31" s="5">
        <v>0.9</v>
      </c>
      <c r="O31" s="6">
        <v>-4.9000000000000004</v>
      </c>
      <c r="P31" s="7">
        <v>44000</v>
      </c>
      <c r="Q31" s="6">
        <f t="shared" si="0"/>
        <v>11.58189827793352</v>
      </c>
      <c r="R31" s="6">
        <f t="shared" si="1"/>
        <v>4.07689227072487</v>
      </c>
      <c r="S31" s="6">
        <v>41.7</v>
      </c>
      <c r="T31" s="5">
        <f t="shared" si="2"/>
        <v>0.94420504605526634</v>
      </c>
      <c r="U31" s="5">
        <f t="shared" si="3"/>
        <v>8.1524204702627934</v>
      </c>
    </row>
    <row r="32" spans="1:21" ht="42" customHeight="1" x14ac:dyDescent="0.3">
      <c r="A32" s="8" t="s">
        <v>117</v>
      </c>
      <c r="B32" s="8" t="s">
        <v>118</v>
      </c>
      <c r="C32" s="8" t="s">
        <v>25</v>
      </c>
      <c r="D32" s="8" t="s">
        <v>26</v>
      </c>
      <c r="E32" s="8" t="s">
        <v>27</v>
      </c>
      <c r="F32" s="9" t="s">
        <v>119</v>
      </c>
      <c r="G32" s="10">
        <v>11701.4</v>
      </c>
      <c r="H32" s="10">
        <v>-367.5</v>
      </c>
      <c r="I32" s="10">
        <v>-443.2</v>
      </c>
      <c r="J32" s="10">
        <v>498.8</v>
      </c>
      <c r="K32" s="10">
        <v>3990.6</v>
      </c>
      <c r="L32" s="10">
        <v>4120.8</v>
      </c>
      <c r="M32" s="10">
        <v>627.70000000000005</v>
      </c>
      <c r="N32" s="11"/>
      <c r="O32" s="12">
        <v>17.3</v>
      </c>
      <c r="P32" s="13">
        <v>2305</v>
      </c>
      <c r="Q32" s="12">
        <f t="shared" si="0"/>
        <v>-3.1406498367716682</v>
      </c>
      <c r="R32" s="12">
        <f t="shared" si="1"/>
        <v>-3.7875809732168801</v>
      </c>
      <c r="S32" s="12">
        <v>14.4</v>
      </c>
      <c r="T32" s="11">
        <f t="shared" si="2"/>
        <v>5.3643153810655139E-2</v>
      </c>
      <c r="U32" s="11" t="str">
        <f t="shared" si="3"/>
        <v/>
      </c>
    </row>
    <row r="33" spans="1:21" ht="42" customHeight="1" x14ac:dyDescent="0.3">
      <c r="A33" s="2" t="s">
        <v>120</v>
      </c>
      <c r="B33" s="2" t="s">
        <v>121</v>
      </c>
      <c r="C33" s="2" t="s">
        <v>25</v>
      </c>
      <c r="D33" s="2" t="s">
        <v>26</v>
      </c>
      <c r="E33" s="2" t="s">
        <v>103</v>
      </c>
      <c r="F33" s="3" t="s">
        <v>122</v>
      </c>
      <c r="G33" s="4">
        <v>11035</v>
      </c>
      <c r="H33" s="4">
        <v>2175</v>
      </c>
      <c r="I33" s="4">
        <v>988</v>
      </c>
      <c r="J33" s="4">
        <v>6585</v>
      </c>
      <c r="K33" s="4">
        <v>420</v>
      </c>
      <c r="L33" s="4">
        <v>22160.6</v>
      </c>
      <c r="M33" s="4">
        <v>28167.5</v>
      </c>
      <c r="N33" s="5">
        <v>22.8</v>
      </c>
      <c r="O33" s="6">
        <v>7.1</v>
      </c>
      <c r="P33" s="7">
        <v>46000</v>
      </c>
      <c r="Q33" s="6">
        <f t="shared" si="0"/>
        <v>19.710013593112823</v>
      </c>
      <c r="R33" s="6">
        <f t="shared" si="1"/>
        <v>8.9533303126415955</v>
      </c>
      <c r="S33" s="6">
        <v>33.299999999999997</v>
      </c>
      <c r="T33" s="5">
        <f t="shared" si="2"/>
        <v>2.552560036248301</v>
      </c>
      <c r="U33" s="5">
        <f t="shared" si="3"/>
        <v>12.950574712643679</v>
      </c>
    </row>
    <row r="34" spans="1:21" ht="42" customHeight="1" x14ac:dyDescent="0.3">
      <c r="A34" s="8" t="s">
        <v>123</v>
      </c>
      <c r="B34" s="8" t="s">
        <v>124</v>
      </c>
      <c r="C34" s="8" t="s">
        <v>25</v>
      </c>
      <c r="D34" s="8" t="s">
        <v>125</v>
      </c>
      <c r="E34" s="8" t="s">
        <v>126</v>
      </c>
      <c r="F34" s="9" t="s">
        <v>127</v>
      </c>
      <c r="G34" s="10">
        <v>10838</v>
      </c>
      <c r="H34" s="10">
        <v>2664.6</v>
      </c>
      <c r="I34" s="10">
        <v>936.8</v>
      </c>
      <c r="J34" s="10">
        <v>21380.3</v>
      </c>
      <c r="K34" s="10">
        <v>5033.7</v>
      </c>
      <c r="L34" s="10">
        <v>142543.9</v>
      </c>
      <c r="M34" s="10">
        <v>159963.9</v>
      </c>
      <c r="N34" s="11">
        <v>142.9</v>
      </c>
      <c r="O34" s="12">
        <v>41.3</v>
      </c>
      <c r="P34" s="13">
        <v>712</v>
      </c>
      <c r="Q34" s="12">
        <f t="shared" si="0"/>
        <v>24.585716921941316</v>
      </c>
      <c r="R34" s="12">
        <f t="shared" si="1"/>
        <v>8.6436611921018631</v>
      </c>
      <c r="S34" s="12">
        <v>40.200000000000003</v>
      </c>
      <c r="T34" s="11">
        <f t="shared" si="2"/>
        <v>14.759540505628344</v>
      </c>
      <c r="U34" s="11">
        <f t="shared" si="3"/>
        <v>60.032988065750956</v>
      </c>
    </row>
    <row r="35" spans="1:21" ht="42" customHeight="1" x14ac:dyDescent="0.3">
      <c r="A35" s="2" t="s">
        <v>128</v>
      </c>
      <c r="B35" s="2" t="s">
        <v>129</v>
      </c>
      <c r="C35" s="2" t="s">
        <v>130</v>
      </c>
      <c r="D35" s="2" t="s">
        <v>50</v>
      </c>
      <c r="E35" s="2" t="s">
        <v>83</v>
      </c>
      <c r="F35" s="3" t="s">
        <v>131</v>
      </c>
      <c r="G35" s="4">
        <v>9708</v>
      </c>
      <c r="H35" s="4">
        <v>2627</v>
      </c>
      <c r="I35" s="4">
        <v>1605</v>
      </c>
      <c r="J35" s="4">
        <v>6905</v>
      </c>
      <c r="K35" s="4">
        <v>3165</v>
      </c>
      <c r="L35" s="4">
        <v>29006.1</v>
      </c>
      <c r="M35" s="4">
        <v>32457.7</v>
      </c>
      <c r="N35" s="5">
        <v>18.600000000000001</v>
      </c>
      <c r="O35" s="6">
        <v>-3.3</v>
      </c>
      <c r="P35" s="7">
        <v>46900</v>
      </c>
      <c r="Q35" s="6">
        <f t="shared" si="0"/>
        <v>27.060156571899462</v>
      </c>
      <c r="R35" s="6">
        <f t="shared" si="1"/>
        <v>16.532756489493202</v>
      </c>
      <c r="S35" s="6">
        <v>41.6</v>
      </c>
      <c r="T35" s="5">
        <f t="shared" si="2"/>
        <v>3.3433971981870623</v>
      </c>
      <c r="U35" s="5">
        <f t="shared" si="3"/>
        <v>12.355424438523031</v>
      </c>
    </row>
    <row r="36" spans="1:21" ht="42" customHeight="1" x14ac:dyDescent="0.3">
      <c r="A36" s="8" t="s">
        <v>132</v>
      </c>
      <c r="B36" s="8" t="s">
        <v>133</v>
      </c>
      <c r="C36" s="8" t="s">
        <v>25</v>
      </c>
      <c r="D36" s="8" t="s">
        <v>50</v>
      </c>
      <c r="E36" s="8" t="s">
        <v>134</v>
      </c>
      <c r="F36" s="9" t="s">
        <v>135</v>
      </c>
      <c r="G36" s="10">
        <v>6594.4</v>
      </c>
      <c r="H36" s="10">
        <v>888.5</v>
      </c>
      <c r="I36" s="10">
        <v>660.7</v>
      </c>
      <c r="J36" s="10">
        <v>1218.3</v>
      </c>
      <c r="K36" s="10">
        <v>1122.7</v>
      </c>
      <c r="L36" s="10">
        <v>6245.7</v>
      </c>
      <c r="M36" s="10">
        <v>6341.3</v>
      </c>
      <c r="N36" s="11">
        <v>9.8000000000000007</v>
      </c>
      <c r="O36" s="12">
        <v>5.5</v>
      </c>
      <c r="P36" s="13">
        <v>4900</v>
      </c>
      <c r="Q36" s="12">
        <f t="shared" si="0"/>
        <v>13.473553317966761</v>
      </c>
      <c r="R36" s="12">
        <f t="shared" si="1"/>
        <v>10.019107121193741</v>
      </c>
      <c r="S36" s="12">
        <v>24</v>
      </c>
      <c r="T36" s="11">
        <f t="shared" si="2"/>
        <v>0.96161894941162207</v>
      </c>
      <c r="U36" s="11">
        <f t="shared" si="3"/>
        <v>7.1370849746764211</v>
      </c>
    </row>
    <row r="37" spans="1:21" ht="42" customHeight="1" x14ac:dyDescent="0.3">
      <c r="A37" s="2" t="s">
        <v>136</v>
      </c>
      <c r="B37" s="2" t="s">
        <v>137</v>
      </c>
      <c r="C37" s="2" t="s">
        <v>25</v>
      </c>
      <c r="D37" s="2" t="s">
        <v>125</v>
      </c>
      <c r="E37" s="2" t="s">
        <v>126</v>
      </c>
      <c r="F37" s="3" t="s">
        <v>138</v>
      </c>
      <c r="G37" s="4">
        <v>5817.4</v>
      </c>
      <c r="H37" s="4">
        <v>2213.1999999999998</v>
      </c>
      <c r="I37" s="4">
        <v>251.4</v>
      </c>
      <c r="J37" s="4">
        <v>13219.6</v>
      </c>
      <c r="K37" s="4">
        <v>741.1</v>
      </c>
      <c r="L37" s="4">
        <v>40310.300000000003</v>
      </c>
      <c r="M37" s="4">
        <v>53222.6</v>
      </c>
      <c r="N37" s="5">
        <v>157.19999999999999</v>
      </c>
      <c r="O37" s="6">
        <v>21.4</v>
      </c>
      <c r="P37" s="7">
        <v>542</v>
      </c>
      <c r="Q37" s="6">
        <f t="shared" si="0"/>
        <v>38.04448722797126</v>
      </c>
      <c r="R37" s="6">
        <f t="shared" si="1"/>
        <v>4.3215182040086644</v>
      </c>
      <c r="S37" s="6">
        <v>41.2</v>
      </c>
      <c r="T37" s="5">
        <f t="shared" si="2"/>
        <v>9.1488637535668857</v>
      </c>
      <c r="U37" s="5">
        <f t="shared" si="3"/>
        <v>24.047804084583412</v>
      </c>
    </row>
    <row r="38" spans="1:21" ht="42" customHeight="1" x14ac:dyDescent="0.3">
      <c r="A38" s="8" t="s">
        <v>139</v>
      </c>
      <c r="B38" s="8" t="s">
        <v>140</v>
      </c>
      <c r="C38" s="8" t="s">
        <v>25</v>
      </c>
      <c r="D38" s="8" t="s">
        <v>26</v>
      </c>
      <c r="E38" s="8" t="s">
        <v>55</v>
      </c>
      <c r="F38" s="9" t="s">
        <v>141</v>
      </c>
      <c r="G38" s="10">
        <v>5057.8</v>
      </c>
      <c r="H38" s="10">
        <v>528.70000000000005</v>
      </c>
      <c r="I38" s="10">
        <v>344</v>
      </c>
      <c r="J38" s="10">
        <v>2205.8000000000002</v>
      </c>
      <c r="K38" s="10">
        <v>572.4</v>
      </c>
      <c r="L38" s="10">
        <v>12042.7</v>
      </c>
      <c r="M38" s="10">
        <v>13588.9</v>
      </c>
      <c r="N38" s="11">
        <v>35.5</v>
      </c>
      <c r="O38" s="12">
        <v>20.2</v>
      </c>
      <c r="P38" s="13">
        <v>46000</v>
      </c>
      <c r="Q38" s="12">
        <f t="shared" si="0"/>
        <v>10.453161453596426</v>
      </c>
      <c r="R38" s="12">
        <f t="shared" si="1"/>
        <v>6.8013760923721769</v>
      </c>
      <c r="S38" s="12">
        <v>16.3</v>
      </c>
      <c r="T38" s="11">
        <f t="shared" si="2"/>
        <v>2.686721499466171</v>
      </c>
      <c r="U38" s="11">
        <f t="shared" si="3"/>
        <v>25.702477775676183</v>
      </c>
    </row>
    <row r="39" spans="1:21" ht="42" customHeight="1" x14ac:dyDescent="0.3">
      <c r="A39" s="2" t="s">
        <v>142</v>
      </c>
      <c r="B39" s="2" t="s">
        <v>143</v>
      </c>
      <c r="C39" s="2" t="s">
        <v>25</v>
      </c>
      <c r="D39" s="2" t="s">
        <v>26</v>
      </c>
      <c r="E39" s="2" t="s">
        <v>55</v>
      </c>
      <c r="F39" s="3" t="s">
        <v>144</v>
      </c>
      <c r="G39" s="4">
        <v>3308.7</v>
      </c>
      <c r="H39" s="4">
        <v>655.5</v>
      </c>
      <c r="I39" s="4">
        <v>-77.900000000000006</v>
      </c>
      <c r="J39" s="4">
        <v>4038.6</v>
      </c>
      <c r="K39" s="4">
        <v>239.9</v>
      </c>
      <c r="L39" s="4">
        <v>1728</v>
      </c>
      <c r="M39" s="4">
        <v>7325.5</v>
      </c>
      <c r="N39" s="5"/>
      <c r="O39" s="6">
        <v>2.4</v>
      </c>
      <c r="P39" s="7">
        <v>16000</v>
      </c>
      <c r="Q39" s="6">
        <f t="shared" si="0"/>
        <v>19.811406292501587</v>
      </c>
      <c r="R39" s="6">
        <f t="shared" si="1"/>
        <v>-2.3543990086741018</v>
      </c>
      <c r="S39" s="6">
        <v>23.1</v>
      </c>
      <c r="T39" s="5">
        <f t="shared" si="2"/>
        <v>2.2140115453199143</v>
      </c>
      <c r="U39" s="5">
        <f t="shared" si="3"/>
        <v>11.175438596491228</v>
      </c>
    </row>
    <row r="40" spans="1:21" ht="42" customHeight="1" x14ac:dyDescent="0.3">
      <c r="A40" s="8" t="s">
        <v>145</v>
      </c>
      <c r="B40" s="8" t="s">
        <v>146</v>
      </c>
      <c r="C40" s="8" t="s">
        <v>25</v>
      </c>
      <c r="D40" s="8" t="s">
        <v>26</v>
      </c>
      <c r="E40" s="8" t="s">
        <v>147</v>
      </c>
      <c r="F40" s="9" t="s">
        <v>148</v>
      </c>
      <c r="G40" s="10">
        <v>2347.6</v>
      </c>
      <c r="H40" s="10">
        <v>175.7</v>
      </c>
      <c r="I40" s="10">
        <v>128.4</v>
      </c>
      <c r="J40" s="10">
        <v>1120.5999999999999</v>
      </c>
      <c r="K40" s="10">
        <v>577.5</v>
      </c>
      <c r="L40" s="10">
        <v>3587.8</v>
      </c>
      <c r="M40" s="10">
        <v>4130.8999999999996</v>
      </c>
      <c r="N40" s="11">
        <v>30.9</v>
      </c>
      <c r="O40" s="12">
        <v>28.4</v>
      </c>
      <c r="P40" s="13">
        <v>2442</v>
      </c>
      <c r="Q40" s="12">
        <f t="shared" si="0"/>
        <v>7.4842392230362913</v>
      </c>
      <c r="R40" s="12">
        <f t="shared" si="1"/>
        <v>5.4694155733515082</v>
      </c>
      <c r="S40" s="12">
        <v>73.8</v>
      </c>
      <c r="T40" s="11">
        <f t="shared" si="2"/>
        <v>1.7596268529562105</v>
      </c>
      <c r="U40" s="11">
        <f t="shared" si="3"/>
        <v>23.511098463289699</v>
      </c>
    </row>
    <row r="41" spans="1:21" ht="42" customHeight="1" x14ac:dyDescent="0.3">
      <c r="A41" s="2" t="s">
        <v>149</v>
      </c>
      <c r="B41" s="2" t="s">
        <v>150</v>
      </c>
      <c r="C41" s="2" t="s">
        <v>25</v>
      </c>
      <c r="D41" s="2" t="s">
        <v>151</v>
      </c>
      <c r="E41" s="2" t="s">
        <v>152</v>
      </c>
      <c r="F41" s="3" t="s">
        <v>153</v>
      </c>
      <c r="G41" s="4">
        <v>2202.5</v>
      </c>
      <c r="H41" s="4">
        <v>457.9</v>
      </c>
      <c r="I41" s="4">
        <v>529.70000000000005</v>
      </c>
      <c r="J41" s="4">
        <v>23.2</v>
      </c>
      <c r="K41" s="4">
        <v>2476.8000000000002</v>
      </c>
      <c r="L41" s="4">
        <v>26628.5</v>
      </c>
      <c r="M41" s="4">
        <v>24174.9</v>
      </c>
      <c r="N41" s="5">
        <v>53.2</v>
      </c>
      <c r="O41" s="6">
        <v>69.7</v>
      </c>
      <c r="P41" s="7">
        <v>2555</v>
      </c>
      <c r="Q41" s="6">
        <f t="shared" si="0"/>
        <v>20.790011350737796</v>
      </c>
      <c r="R41" s="6">
        <f t="shared" si="1"/>
        <v>24.049943246311013</v>
      </c>
      <c r="S41" s="6">
        <v>91.2</v>
      </c>
      <c r="T41" s="5">
        <f t="shared" si="2"/>
        <v>10.976118047673099</v>
      </c>
      <c r="U41" s="5">
        <f t="shared" si="3"/>
        <v>52.795151779864604</v>
      </c>
    </row>
    <row r="42" spans="1:21" ht="42" customHeight="1" x14ac:dyDescent="0.3">
      <c r="A42" s="8" t="s">
        <v>154</v>
      </c>
      <c r="B42" s="8" t="s">
        <v>155</v>
      </c>
      <c r="C42" s="8" t="s">
        <v>25</v>
      </c>
      <c r="D42" s="8" t="s">
        <v>26</v>
      </c>
      <c r="E42" s="8" t="s">
        <v>27</v>
      </c>
      <c r="F42" s="9" t="s">
        <v>156</v>
      </c>
      <c r="G42" s="10">
        <v>1923.5</v>
      </c>
      <c r="H42" s="10">
        <v>-83.8</v>
      </c>
      <c r="I42" s="10">
        <v>-85.5</v>
      </c>
      <c r="J42" s="10"/>
      <c r="K42" s="10">
        <v>120.3</v>
      </c>
      <c r="L42" s="10">
        <v>1049.3</v>
      </c>
      <c r="M42" s="10">
        <v>929.1</v>
      </c>
      <c r="N42" s="11"/>
      <c r="O42" s="12">
        <v>44.7</v>
      </c>
      <c r="P42" s="13">
        <v>724</v>
      </c>
      <c r="Q42" s="12">
        <f t="shared" si="0"/>
        <v>-4.3566415388614503</v>
      </c>
      <c r="R42" s="12">
        <f t="shared" si="1"/>
        <v>-4.4450220951390698</v>
      </c>
      <c r="S42" s="12">
        <v>18.5</v>
      </c>
      <c r="T42" s="11">
        <f t="shared" si="2"/>
        <v>0.48302573433844553</v>
      </c>
      <c r="U42" s="11" t="str">
        <f t="shared" si="3"/>
        <v/>
      </c>
    </row>
    <row r="43" spans="1:21" ht="42" customHeight="1" x14ac:dyDescent="0.3">
      <c r="A43" s="2" t="s">
        <v>157</v>
      </c>
      <c r="B43" s="2" t="s">
        <v>158</v>
      </c>
      <c r="C43" s="2" t="s">
        <v>25</v>
      </c>
      <c r="D43" s="2" t="s">
        <v>26</v>
      </c>
      <c r="E43" s="2" t="s">
        <v>55</v>
      </c>
      <c r="F43" s="3" t="s">
        <v>159</v>
      </c>
      <c r="G43" s="4">
        <v>1517.8</v>
      </c>
      <c r="H43" s="4">
        <v>173.3</v>
      </c>
      <c r="I43" s="4">
        <v>120</v>
      </c>
      <c r="J43" s="4">
        <v>87.1</v>
      </c>
      <c r="K43" s="4">
        <v>255.8</v>
      </c>
      <c r="L43" s="4">
        <v>2604.9</v>
      </c>
      <c r="M43" s="4">
        <v>2446.1999999999998</v>
      </c>
      <c r="N43" s="5">
        <v>25.9</v>
      </c>
      <c r="O43" s="6">
        <v>4.5999999999999996</v>
      </c>
      <c r="P43" s="7">
        <v>15278</v>
      </c>
      <c r="Q43" s="6">
        <f t="shared" si="0"/>
        <v>11.41784161286072</v>
      </c>
      <c r="R43" s="6">
        <f t="shared" si="1"/>
        <v>7.9061799973646067</v>
      </c>
      <c r="S43" s="6">
        <v>39.299999999999997</v>
      </c>
      <c r="T43" s="5">
        <f t="shared" si="2"/>
        <v>1.611674792462775</v>
      </c>
      <c r="U43" s="5">
        <f t="shared" si="3"/>
        <v>14.11540680900173</v>
      </c>
    </row>
    <row r="44" spans="1:21" ht="42" customHeight="1" x14ac:dyDescent="0.3">
      <c r="A44" s="8" t="s">
        <v>160</v>
      </c>
      <c r="B44" s="8" t="s">
        <v>161</v>
      </c>
      <c r="C44" s="8" t="s">
        <v>25</v>
      </c>
      <c r="D44" s="8" t="s">
        <v>26</v>
      </c>
      <c r="E44" s="8" t="s">
        <v>162</v>
      </c>
      <c r="F44" s="9" t="s">
        <v>163</v>
      </c>
      <c r="G44" s="10">
        <v>1290.7</v>
      </c>
      <c r="H44" s="10">
        <v>454.6</v>
      </c>
      <c r="I44" s="10">
        <v>191.8</v>
      </c>
      <c r="J44" s="10">
        <v>1028.3</v>
      </c>
      <c r="K44" s="10">
        <v>309.3</v>
      </c>
      <c r="L44" s="10">
        <v>6776.2</v>
      </c>
      <c r="M44" s="10">
        <v>7413.8</v>
      </c>
      <c r="N44" s="11">
        <v>35.9</v>
      </c>
      <c r="O44" s="12">
        <v>7.2</v>
      </c>
      <c r="P44" s="13">
        <v>3105</v>
      </c>
      <c r="Q44" s="12">
        <f t="shared" si="0"/>
        <v>35.221197799643605</v>
      </c>
      <c r="R44" s="12">
        <f t="shared" si="1"/>
        <v>14.860153405129001</v>
      </c>
      <c r="S44" s="12">
        <v>67.7</v>
      </c>
      <c r="T44" s="11">
        <f t="shared" si="2"/>
        <v>5.7440148756488725</v>
      </c>
      <c r="U44" s="11">
        <f t="shared" si="3"/>
        <v>16.308402991641003</v>
      </c>
    </row>
    <row r="45" spans="1:21" ht="42" customHeight="1" x14ac:dyDescent="0.3">
      <c r="A45" s="2" t="s">
        <v>164</v>
      </c>
      <c r="B45" s="2" t="s">
        <v>165</v>
      </c>
      <c r="C45" s="2" t="s">
        <v>25</v>
      </c>
      <c r="D45" s="2" t="s">
        <v>26</v>
      </c>
      <c r="E45" s="2" t="s">
        <v>166</v>
      </c>
      <c r="F45" s="3" t="s">
        <v>167</v>
      </c>
      <c r="G45" s="4">
        <v>1071.5</v>
      </c>
      <c r="H45" s="4">
        <v>116.6</v>
      </c>
      <c r="I45" s="4">
        <v>391</v>
      </c>
      <c r="J45" s="4">
        <v>52.2</v>
      </c>
      <c r="K45" s="4">
        <v>819.7</v>
      </c>
      <c r="L45" s="4">
        <v>3778.2</v>
      </c>
      <c r="M45" s="4">
        <v>3010.7</v>
      </c>
      <c r="N45" s="5">
        <v>9.6</v>
      </c>
      <c r="O45" s="6">
        <v>9.4</v>
      </c>
      <c r="P45" s="7">
        <v>796</v>
      </c>
      <c r="Q45" s="6">
        <f t="shared" si="0"/>
        <v>10.881941203919739</v>
      </c>
      <c r="R45" s="6">
        <f t="shared" si="1"/>
        <v>36.490900606626226</v>
      </c>
      <c r="S45" s="6">
        <v>61</v>
      </c>
      <c r="T45" s="5">
        <f t="shared" si="2"/>
        <v>2.8097993467102191</v>
      </c>
      <c r="U45" s="5">
        <f t="shared" si="3"/>
        <v>25.820754716981131</v>
      </c>
    </row>
    <row r="46" spans="1:21" ht="42" customHeight="1" x14ac:dyDescent="0.3">
      <c r="A46" s="8" t="s">
        <v>168</v>
      </c>
      <c r="B46" s="8" t="s">
        <v>169</v>
      </c>
      <c r="C46" s="8" t="s">
        <v>25</v>
      </c>
      <c r="D46" s="8" t="s">
        <v>125</v>
      </c>
      <c r="E46" s="8" t="s">
        <v>126</v>
      </c>
      <c r="F46" s="9" t="s">
        <v>170</v>
      </c>
      <c r="G46" s="10">
        <v>1009.2</v>
      </c>
      <c r="H46" s="10">
        <v>823.3</v>
      </c>
      <c r="I46" s="10">
        <v>-707.9</v>
      </c>
      <c r="J46" s="10">
        <v>9616.2000000000007</v>
      </c>
      <c r="K46" s="10">
        <v>396.6</v>
      </c>
      <c r="L46" s="10">
        <v>3019.5</v>
      </c>
      <c r="M46" s="10">
        <v>12312.4</v>
      </c>
      <c r="N46" s="11"/>
      <c r="O46" s="12">
        <v>9.9</v>
      </c>
      <c r="P46" s="13">
        <v>118</v>
      </c>
      <c r="Q46" s="12">
        <f t="shared" si="0"/>
        <v>81.579468886246516</v>
      </c>
      <c r="R46" s="12">
        <f t="shared" si="1"/>
        <v>-70.144669044787946</v>
      </c>
      <c r="S46" s="12">
        <v>96.4</v>
      </c>
      <c r="T46" s="11">
        <f t="shared" si="2"/>
        <v>12.200158541418945</v>
      </c>
      <c r="U46" s="11">
        <f t="shared" si="3"/>
        <v>14.954937446860198</v>
      </c>
    </row>
    <row r="47" spans="1:21" ht="42" customHeight="1" x14ac:dyDescent="0.3">
      <c r="A47" s="2" t="s">
        <v>171</v>
      </c>
      <c r="B47" s="2" t="s">
        <v>172</v>
      </c>
      <c r="C47" s="2" t="s">
        <v>25</v>
      </c>
      <c r="D47" s="2" t="s">
        <v>26</v>
      </c>
      <c r="E47" s="2" t="s">
        <v>162</v>
      </c>
      <c r="F47" s="3" t="s">
        <v>173</v>
      </c>
      <c r="G47" s="4">
        <v>1004.5</v>
      </c>
      <c r="H47" s="4">
        <v>271.8</v>
      </c>
      <c r="I47" s="4">
        <v>7.4</v>
      </c>
      <c r="J47" s="4">
        <v>327</v>
      </c>
      <c r="K47" s="4">
        <v>43.4</v>
      </c>
      <c r="L47" s="4">
        <v>2336.6999999999998</v>
      </c>
      <c r="M47" s="4">
        <v>2620.3000000000002</v>
      </c>
      <c r="N47" s="5">
        <v>166.2</v>
      </c>
      <c r="O47" s="6">
        <v>-3.3</v>
      </c>
      <c r="P47" s="7">
        <v>2700</v>
      </c>
      <c r="Q47" s="6">
        <f t="shared" si="0"/>
        <v>27.058237929318068</v>
      </c>
      <c r="R47" s="6">
        <f t="shared" si="1"/>
        <v>0.7366849178695869</v>
      </c>
      <c r="S47" s="6">
        <v>73</v>
      </c>
      <c r="T47" s="5">
        <f t="shared" si="2"/>
        <v>2.6085614733698361</v>
      </c>
      <c r="U47" s="5">
        <f t="shared" si="3"/>
        <v>9.6405445180279621</v>
      </c>
    </row>
    <row r="48" spans="1:21" ht="42" customHeight="1" x14ac:dyDescent="0.3">
      <c r="A48" s="8" t="s">
        <v>174</v>
      </c>
      <c r="B48" s="8" t="s">
        <v>175</v>
      </c>
      <c r="C48" s="8" t="s">
        <v>25</v>
      </c>
      <c r="D48" s="8" t="s">
        <v>125</v>
      </c>
      <c r="E48" s="8" t="s">
        <v>126</v>
      </c>
      <c r="F48" s="9" t="s">
        <v>176</v>
      </c>
      <c r="G48" s="10">
        <v>775.8</v>
      </c>
      <c r="H48" s="10">
        <v>447.1</v>
      </c>
      <c r="I48" s="10">
        <v>155.6</v>
      </c>
      <c r="J48" s="10">
        <v>2537.6</v>
      </c>
      <c r="K48" s="10">
        <v>74.900000000000006</v>
      </c>
      <c r="L48" s="10">
        <v>5148.8</v>
      </c>
      <c r="M48" s="10">
        <v>7613.4</v>
      </c>
      <c r="N48" s="11">
        <v>31.9</v>
      </c>
      <c r="O48" s="12">
        <v>15.8</v>
      </c>
      <c r="P48" s="13">
        <v>58</v>
      </c>
      <c r="Q48" s="12">
        <f t="shared" si="0"/>
        <v>57.63083268883733</v>
      </c>
      <c r="R48" s="12">
        <f t="shared" si="1"/>
        <v>20.056715648362982</v>
      </c>
      <c r="S48" s="12">
        <v>65.2</v>
      </c>
      <c r="T48" s="11">
        <f t="shared" si="2"/>
        <v>9.8136117556071145</v>
      </c>
      <c r="U48" s="11">
        <f t="shared" si="3"/>
        <v>17.028405278461193</v>
      </c>
    </row>
    <row r="49" spans="1:21" ht="42" customHeight="1" x14ac:dyDescent="0.3">
      <c r="A49" s="2" t="s">
        <v>177</v>
      </c>
      <c r="B49" s="2" t="s">
        <v>178</v>
      </c>
      <c r="C49" s="2" t="s">
        <v>179</v>
      </c>
      <c r="D49" s="2" t="s">
        <v>26</v>
      </c>
      <c r="E49" s="2" t="s">
        <v>65</v>
      </c>
      <c r="F49" s="3" t="s">
        <v>180</v>
      </c>
      <c r="G49" s="4">
        <v>655.4</v>
      </c>
      <c r="H49" s="4">
        <v>-135.19999999999999</v>
      </c>
      <c r="I49" s="4">
        <v>-136.19999999999999</v>
      </c>
      <c r="J49" s="4">
        <v>248.4</v>
      </c>
      <c r="K49" s="4">
        <v>447.7</v>
      </c>
      <c r="L49" s="4">
        <v>1483.9</v>
      </c>
      <c r="M49" s="4">
        <v>1284.5999999999999</v>
      </c>
      <c r="N49" s="5"/>
      <c r="O49" s="6">
        <v>8.1</v>
      </c>
      <c r="P49" s="7">
        <v>1605</v>
      </c>
      <c r="Q49" s="6">
        <f t="shared" si="0"/>
        <v>-20.628623741226733</v>
      </c>
      <c r="R49" s="6">
        <f t="shared" si="1"/>
        <v>-20.781202319194385</v>
      </c>
      <c r="S49" s="6">
        <v>74.8</v>
      </c>
      <c r="T49" s="5">
        <f t="shared" si="2"/>
        <v>1.9600244125724748</v>
      </c>
      <c r="U49" s="5" t="str">
        <f t="shared" si="3"/>
        <v/>
      </c>
    </row>
    <row r="50" spans="1:21" ht="42" customHeight="1" x14ac:dyDescent="0.3">
      <c r="A50" s="8" t="s">
        <v>181</v>
      </c>
      <c r="B50" s="8" t="s">
        <v>182</v>
      </c>
      <c r="C50" s="8" t="s">
        <v>25</v>
      </c>
      <c r="D50" s="8" t="s">
        <v>26</v>
      </c>
      <c r="E50" s="8" t="s">
        <v>162</v>
      </c>
      <c r="F50" s="9" t="s">
        <v>183</v>
      </c>
      <c r="G50" s="10">
        <v>637.79999999999995</v>
      </c>
      <c r="H50" s="10">
        <v>245.5</v>
      </c>
      <c r="I50" s="10">
        <v>239.4</v>
      </c>
      <c r="J50" s="10">
        <v>10.7</v>
      </c>
      <c r="K50" s="10">
        <v>735.1</v>
      </c>
      <c r="L50" s="10">
        <v>4770.8</v>
      </c>
      <c r="M50" s="10">
        <v>3956.1</v>
      </c>
      <c r="N50" s="11">
        <v>21.3</v>
      </c>
      <c r="O50" s="12">
        <v>9.8000000000000007</v>
      </c>
      <c r="P50" s="13">
        <v>830</v>
      </c>
      <c r="Q50" s="12">
        <f t="shared" si="0"/>
        <v>38.491690185010981</v>
      </c>
      <c r="R50" s="12">
        <f t="shared" si="1"/>
        <v>37.535277516462848</v>
      </c>
      <c r="S50" s="12">
        <v>89.7</v>
      </c>
      <c r="T50" s="11">
        <f t="shared" si="2"/>
        <v>6.2027281279397934</v>
      </c>
      <c r="U50" s="11">
        <f t="shared" si="3"/>
        <v>16.114460285132381</v>
      </c>
    </row>
    <row r="51" spans="1:21" ht="42" customHeight="1" x14ac:dyDescent="0.3">
      <c r="A51" s="2" t="s">
        <v>184</v>
      </c>
      <c r="B51" s="2" t="s">
        <v>185</v>
      </c>
      <c r="C51" s="2" t="s">
        <v>25</v>
      </c>
      <c r="D51" s="2" t="s">
        <v>26</v>
      </c>
      <c r="E51" s="2" t="s">
        <v>162</v>
      </c>
      <c r="F51" s="3" t="s">
        <v>186</v>
      </c>
      <c r="G51" s="4">
        <v>588</v>
      </c>
      <c r="H51" s="4">
        <v>51.7</v>
      </c>
      <c r="I51" s="4">
        <v>-20</v>
      </c>
      <c r="J51" s="4">
        <v>218.8</v>
      </c>
      <c r="K51" s="4">
        <v>492.6</v>
      </c>
      <c r="L51" s="4">
        <v>516.20000000000005</v>
      </c>
      <c r="M51" s="4">
        <v>187.4</v>
      </c>
      <c r="N51" s="5"/>
      <c r="O51" s="6">
        <v>5</v>
      </c>
      <c r="P51" s="7">
        <v>2450</v>
      </c>
      <c r="Q51" s="6">
        <f t="shared" si="0"/>
        <v>8.7925170068027221</v>
      </c>
      <c r="R51" s="6">
        <f t="shared" si="1"/>
        <v>-3.4013605442176873</v>
      </c>
      <c r="S51" s="6">
        <v>52.4</v>
      </c>
      <c r="T51" s="5">
        <f t="shared" si="2"/>
        <v>0.31870748299319729</v>
      </c>
      <c r="U51" s="5">
        <f t="shared" si="3"/>
        <v>3.6247582205029012</v>
      </c>
    </row>
    <row r="52" spans="1:21" ht="42" customHeight="1" x14ac:dyDescent="0.3">
      <c r="A52" s="8" t="s">
        <v>187</v>
      </c>
      <c r="B52" s="8" t="s">
        <v>188</v>
      </c>
      <c r="C52" s="8" t="s">
        <v>25</v>
      </c>
      <c r="D52" s="8" t="s">
        <v>125</v>
      </c>
      <c r="E52" s="8" t="s">
        <v>126</v>
      </c>
      <c r="F52" s="9" t="s">
        <v>189</v>
      </c>
      <c r="G52" s="10">
        <v>379.3</v>
      </c>
      <c r="H52" s="10">
        <v>276.8</v>
      </c>
      <c r="I52" s="10">
        <v>142</v>
      </c>
      <c r="J52" s="10">
        <v>1434.7</v>
      </c>
      <c r="K52" s="10">
        <v>32.5</v>
      </c>
      <c r="L52" s="10">
        <v>4095</v>
      </c>
      <c r="M52" s="10">
        <v>5292.4</v>
      </c>
      <c r="N52" s="11">
        <v>28</v>
      </c>
      <c r="O52" s="12">
        <v>-11.7</v>
      </c>
      <c r="P52" s="13">
        <v>32</v>
      </c>
      <c r="Q52" s="12">
        <f t="shared" si="0"/>
        <v>72.976535723701545</v>
      </c>
      <c r="R52" s="12">
        <f t="shared" si="1"/>
        <v>37.437384655945159</v>
      </c>
      <c r="S52" s="12">
        <v>81</v>
      </c>
      <c r="T52" s="11">
        <f t="shared" si="2"/>
        <v>13.95307144740311</v>
      </c>
      <c r="U52" s="11">
        <f t="shared" si="3"/>
        <v>19.119942196531788</v>
      </c>
    </row>
    <row r="55" spans="1:21" x14ac:dyDescent="0.3">
      <c r="A55" s="14" t="s">
        <v>190</v>
      </c>
      <c r="G55" s="15">
        <f>MEDIAN(G5:G52)</f>
        <v>13797.400000000001</v>
      </c>
      <c r="H55" s="15">
        <f>MEDIAN(H5:H52)</f>
        <v>2586.9</v>
      </c>
      <c r="I55" s="15">
        <f>MEDIAN(I5:I52)</f>
        <v>906.65</v>
      </c>
      <c r="L55" s="15">
        <f>MEDIAN(L5:L52)</f>
        <v>21882.699999999997</v>
      </c>
      <c r="M55" s="15">
        <f>MEDIAN(M5:M52)</f>
        <v>26171.200000000001</v>
      </c>
      <c r="N55" s="16">
        <f>MEDIAN(N5:N52)</f>
        <v>21.3</v>
      </c>
      <c r="O55" s="17">
        <f>MEDIAN(O5:O52)</f>
        <v>8.8000000000000007</v>
      </c>
      <c r="Q55" s="17">
        <f>MEDIAN(Q5:Q52)</f>
        <v>19.07406515573318</v>
      </c>
      <c r="R55" s="17">
        <f>MEDIAN(R5:R52)</f>
        <v>7.3537780448683918</v>
      </c>
      <c r="S55" s="17">
        <f>MEDIAN(S5:S52)</f>
        <v>41.3</v>
      </c>
      <c r="T55" s="16">
        <f>MEDIAN(T5:T52)</f>
        <v>2.1187606125719389</v>
      </c>
      <c r="U55" s="16">
        <f>MEDIAN(U5:U52)</f>
        <v>12.950574712643679</v>
      </c>
    </row>
    <row r="56" spans="1:21" x14ac:dyDescent="0.3">
      <c r="A56" s="14" t="s">
        <v>191</v>
      </c>
      <c r="G56" s="15">
        <f>AVERAGE(G5:G52)</f>
        <v>50841.133333333324</v>
      </c>
      <c r="H56" s="15">
        <f>AVERAGE(H5:H52)</f>
        <v>5073.7979166666673</v>
      </c>
      <c r="I56" s="15">
        <f>AVERAGE(I5:I52)</f>
        <v>2470.1479166666668</v>
      </c>
      <c r="L56" s="15">
        <f>AVERAGE(L5:L52)</f>
        <v>55851.685416666653</v>
      </c>
      <c r="M56" s="15">
        <f>AVERAGE(M5:M52)</f>
        <v>66882.229166666672</v>
      </c>
      <c r="N56" s="16">
        <f>AVERAGE(N5:N52)</f>
        <v>31.024390243902438</v>
      </c>
      <c r="O56" s="17">
        <f>AVERAGE(O5:O52)</f>
        <v>11.435416666666661</v>
      </c>
      <c r="Q56" s="17">
        <f>AVERAGE(Q5:Q52)</f>
        <v>20.42803004271752</v>
      </c>
      <c r="R56" s="17">
        <f>AVERAGE(R5:R52)</f>
        <v>8.1320475898852376</v>
      </c>
      <c r="S56" s="17">
        <f>AVERAGE(S5:S52)</f>
        <v>43.962499999999999</v>
      </c>
      <c r="T56" s="16">
        <f>AVERAGE(T5:T52)</f>
        <v>3.4170017055234978</v>
      </c>
      <c r="U56" s="16">
        <f>AVERAGE(U5:U52)</f>
        <v>14.520079075978783</v>
      </c>
    </row>
  </sheetData>
  <mergeCells count="2">
    <mergeCell ref="A1:U1"/>
    <mergeCell ref="A2:U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9"/>
  <sheetViews>
    <sheetView showGridLines="0" tabSelected="1" topLeftCell="F1" workbookViewId="0">
      <pane ySplit="7" topLeftCell="A8" activePane="bottomLeft" state="frozen"/>
      <selection pane="bottomLeft" activeCell="B28" sqref="B28"/>
    </sheetView>
  </sheetViews>
  <sheetFormatPr defaultRowHeight="14.4" x14ac:dyDescent="0.3"/>
  <cols>
    <col min="1" max="1" width="30" bestFit="1" customWidth="1"/>
    <col min="2" max="2" width="26" customWidth="1"/>
    <col min="3" max="3" width="11" customWidth="1"/>
    <col min="4" max="4" width="15" customWidth="1"/>
    <col min="5" max="5" width="20" customWidth="1"/>
    <col min="6" max="6" width="55" customWidth="1"/>
    <col min="7" max="7" width="13" customWidth="1"/>
    <col min="8" max="9" width="12" customWidth="1"/>
    <col min="10" max="11" width="11" customWidth="1"/>
    <col min="12" max="12" width="13" customWidth="1"/>
    <col min="13" max="13" width="12" customWidth="1"/>
    <col min="14" max="14" width="8" customWidth="1"/>
    <col min="15" max="17" width="11" customWidth="1"/>
    <col min="18" max="18" width="10" customWidth="1"/>
    <col min="19" max="21" width="11" customWidth="1"/>
  </cols>
  <sheetData>
    <row r="1" spans="1:21" ht="19.95" customHeight="1" x14ac:dyDescent="0.3">
      <c r="A1" s="18" t="s">
        <v>192</v>
      </c>
    </row>
    <row r="2" spans="1:21" x14ac:dyDescent="0.3">
      <c r="A2" s="19" t="s">
        <v>193</v>
      </c>
      <c r="B2" s="20">
        <v>1000</v>
      </c>
    </row>
    <row r="3" spans="1:21" x14ac:dyDescent="0.3">
      <c r="A3" s="19" t="s">
        <v>194</v>
      </c>
      <c r="B3" s="21">
        <v>30</v>
      </c>
    </row>
    <row r="4" spans="1:21" x14ac:dyDescent="0.3">
      <c r="A4" s="19" t="s">
        <v>195</v>
      </c>
      <c r="B4" s="21">
        <v>300</v>
      </c>
    </row>
    <row r="5" spans="1:21" ht="7.95" customHeight="1" x14ac:dyDescent="0.3"/>
    <row r="6" spans="1:21" ht="13.95" customHeight="1" x14ac:dyDescent="0.3">
      <c r="A6" s="26" t="s">
        <v>196</v>
      </c>
      <c r="B6" s="25"/>
      <c r="C6" s="25"/>
      <c r="D6" s="25"/>
      <c r="E6" s="25"/>
      <c r="F6" s="25"/>
      <c r="G6" s="25"/>
      <c r="H6" s="25"/>
      <c r="I6" s="25"/>
      <c r="J6" s="25"/>
      <c r="K6" s="25"/>
      <c r="L6" s="25"/>
      <c r="M6" s="25"/>
      <c r="N6" s="25"/>
      <c r="O6" s="25"/>
      <c r="P6" s="25"/>
      <c r="Q6" s="25"/>
      <c r="R6" s="25"/>
      <c r="S6" s="25"/>
      <c r="T6" s="25"/>
      <c r="U6" s="25"/>
    </row>
    <row r="7" spans="1:21" ht="30" customHeight="1" x14ac:dyDescent="0.3">
      <c r="A7" s="1" t="s">
        <v>2</v>
      </c>
      <c r="B7" s="1" t="s">
        <v>3</v>
      </c>
      <c r="C7" s="1" t="s">
        <v>4</v>
      </c>
      <c r="D7" s="1" t="s">
        <v>5</v>
      </c>
      <c r="E7" s="1" t="s">
        <v>6</v>
      </c>
      <c r="F7" s="1" t="s">
        <v>7</v>
      </c>
      <c r="G7" s="1" t="s">
        <v>8</v>
      </c>
      <c r="H7" s="1" t="s">
        <v>9</v>
      </c>
      <c r="I7" s="1" t="s">
        <v>10</v>
      </c>
      <c r="J7" s="1" t="s">
        <v>11</v>
      </c>
      <c r="K7" s="1" t="s">
        <v>12</v>
      </c>
      <c r="L7" s="1" t="s">
        <v>13</v>
      </c>
      <c r="M7" s="1" t="s">
        <v>14</v>
      </c>
      <c r="N7" s="1" t="s">
        <v>15</v>
      </c>
      <c r="O7" s="1" t="s">
        <v>16</v>
      </c>
      <c r="P7" s="1" t="s">
        <v>17</v>
      </c>
      <c r="Q7" s="1" t="s">
        <v>18</v>
      </c>
      <c r="R7" s="1" t="s">
        <v>19</v>
      </c>
      <c r="S7" s="1" t="s">
        <v>20</v>
      </c>
      <c r="T7" s="1" t="s">
        <v>21</v>
      </c>
      <c r="U7" s="1" t="s">
        <v>22</v>
      </c>
    </row>
    <row r="8" spans="1:21" ht="42" customHeight="1" x14ac:dyDescent="0.3">
      <c r="A8" s="8" t="s">
        <v>145</v>
      </c>
      <c r="B8" s="8" t="s">
        <v>146</v>
      </c>
      <c r="C8" s="8" t="s">
        <v>25</v>
      </c>
      <c r="D8" s="8" t="s">
        <v>26</v>
      </c>
      <c r="E8" s="8" t="s">
        <v>147</v>
      </c>
      <c r="F8" s="9" t="s">
        <v>148</v>
      </c>
      <c r="G8" s="10">
        <v>2347.6</v>
      </c>
      <c r="H8" s="10">
        <v>175.7</v>
      </c>
      <c r="I8" s="10">
        <v>128.4</v>
      </c>
      <c r="J8" s="10">
        <v>1120.5999999999999</v>
      </c>
      <c r="K8" s="10">
        <v>577.5</v>
      </c>
      <c r="L8" s="10">
        <v>3587.8</v>
      </c>
      <c r="M8" s="10">
        <v>4130.8999999999996</v>
      </c>
      <c r="N8" s="11">
        <v>30.9</v>
      </c>
      <c r="O8" s="12">
        <v>28.4</v>
      </c>
      <c r="P8" s="13">
        <v>2442</v>
      </c>
      <c r="Q8" s="12">
        <f t="shared" ref="Q8:Q20" si="0">IF(G8&gt;0,H8/G8*100,"")</f>
        <v>7.4842392230362913</v>
      </c>
      <c r="R8" s="12">
        <f t="shared" ref="R8:R20" si="1">IF(G8&gt;0,I8/G8*100,"")</f>
        <v>5.4694155733515082</v>
      </c>
      <c r="S8" s="12">
        <v>73.8</v>
      </c>
      <c r="T8" s="11">
        <f t="shared" ref="T8:T20" si="2">IF(G8&gt;0,M8/G8,"")</f>
        <v>1.7596268529562105</v>
      </c>
      <c r="U8" s="11">
        <f t="shared" ref="U8:U20" si="3">IF(H8&gt;0,M8/H8,"")</f>
        <v>23.511098463289699</v>
      </c>
    </row>
    <row r="9" spans="1:21" ht="42" customHeight="1" x14ac:dyDescent="0.3">
      <c r="A9" s="2" t="s">
        <v>149</v>
      </c>
      <c r="B9" s="2" t="s">
        <v>150</v>
      </c>
      <c r="C9" s="2" t="s">
        <v>25</v>
      </c>
      <c r="D9" s="2" t="s">
        <v>151</v>
      </c>
      <c r="E9" s="2" t="s">
        <v>152</v>
      </c>
      <c r="F9" s="3" t="s">
        <v>153</v>
      </c>
      <c r="G9" s="4">
        <v>2202.5</v>
      </c>
      <c r="H9" s="4">
        <v>457.9</v>
      </c>
      <c r="I9" s="4">
        <v>529.70000000000005</v>
      </c>
      <c r="J9" s="4">
        <v>23.2</v>
      </c>
      <c r="K9" s="4">
        <v>2476.8000000000002</v>
      </c>
      <c r="L9" s="4">
        <v>26628.5</v>
      </c>
      <c r="M9" s="4">
        <v>24174.9</v>
      </c>
      <c r="N9" s="5">
        <v>53.2</v>
      </c>
      <c r="O9" s="6">
        <v>69.7</v>
      </c>
      <c r="P9" s="7">
        <v>2555</v>
      </c>
      <c r="Q9" s="6">
        <f t="shared" si="0"/>
        <v>20.790011350737796</v>
      </c>
      <c r="R9" s="6">
        <f t="shared" si="1"/>
        <v>24.049943246311013</v>
      </c>
      <c r="S9" s="6">
        <v>91.2</v>
      </c>
      <c r="T9" s="5">
        <f t="shared" si="2"/>
        <v>10.976118047673099</v>
      </c>
      <c r="U9" s="5">
        <f t="shared" si="3"/>
        <v>52.795151779864604</v>
      </c>
    </row>
    <row r="10" spans="1:21" ht="42" customHeight="1" x14ac:dyDescent="0.3">
      <c r="A10" s="8" t="s">
        <v>154</v>
      </c>
      <c r="B10" s="8" t="s">
        <v>155</v>
      </c>
      <c r="C10" s="8" t="s">
        <v>25</v>
      </c>
      <c r="D10" s="8" t="s">
        <v>26</v>
      </c>
      <c r="E10" s="8" t="s">
        <v>27</v>
      </c>
      <c r="F10" s="9" t="s">
        <v>156</v>
      </c>
      <c r="G10" s="10">
        <v>1923.5</v>
      </c>
      <c r="H10" s="10">
        <v>-83.8</v>
      </c>
      <c r="I10" s="10">
        <v>-85.5</v>
      </c>
      <c r="J10" s="10"/>
      <c r="K10" s="10">
        <v>120.3</v>
      </c>
      <c r="L10" s="10">
        <v>1049.3</v>
      </c>
      <c r="M10" s="10">
        <v>929.1</v>
      </c>
      <c r="N10" s="11"/>
      <c r="O10" s="12">
        <v>44.7</v>
      </c>
      <c r="P10" s="13">
        <v>724</v>
      </c>
      <c r="Q10" s="12">
        <f t="shared" si="0"/>
        <v>-4.3566415388614503</v>
      </c>
      <c r="R10" s="12">
        <f t="shared" si="1"/>
        <v>-4.4450220951390698</v>
      </c>
      <c r="S10" s="12">
        <v>18.5</v>
      </c>
      <c r="T10" s="11">
        <f t="shared" si="2"/>
        <v>0.48302573433844553</v>
      </c>
      <c r="U10" s="11" t="str">
        <f t="shared" si="3"/>
        <v/>
      </c>
    </row>
    <row r="11" spans="1:21" ht="42" customHeight="1" x14ac:dyDescent="0.3">
      <c r="A11" s="2" t="s">
        <v>157</v>
      </c>
      <c r="B11" s="2" t="s">
        <v>158</v>
      </c>
      <c r="C11" s="2" t="s">
        <v>25</v>
      </c>
      <c r="D11" s="2" t="s">
        <v>26</v>
      </c>
      <c r="E11" s="2" t="s">
        <v>55</v>
      </c>
      <c r="F11" s="3" t="s">
        <v>159</v>
      </c>
      <c r="G11" s="4">
        <v>1517.8</v>
      </c>
      <c r="H11" s="4">
        <v>173.3</v>
      </c>
      <c r="I11" s="4">
        <v>120</v>
      </c>
      <c r="J11" s="4">
        <v>87.1</v>
      </c>
      <c r="K11" s="4">
        <v>255.8</v>
      </c>
      <c r="L11" s="4">
        <v>2604.9</v>
      </c>
      <c r="M11" s="4">
        <v>2446.1999999999998</v>
      </c>
      <c r="N11" s="5">
        <v>25.9</v>
      </c>
      <c r="O11" s="6">
        <v>4.5999999999999996</v>
      </c>
      <c r="P11" s="7">
        <v>15278</v>
      </c>
      <c r="Q11" s="6">
        <f t="shared" si="0"/>
        <v>11.41784161286072</v>
      </c>
      <c r="R11" s="6">
        <f t="shared" si="1"/>
        <v>7.9061799973646067</v>
      </c>
      <c r="S11" s="6">
        <v>39.299999999999997</v>
      </c>
      <c r="T11" s="5">
        <f t="shared" si="2"/>
        <v>1.611674792462775</v>
      </c>
      <c r="U11" s="5">
        <f t="shared" si="3"/>
        <v>14.11540680900173</v>
      </c>
    </row>
    <row r="12" spans="1:21" ht="42" customHeight="1" x14ac:dyDescent="0.3">
      <c r="A12" s="8" t="s">
        <v>160</v>
      </c>
      <c r="B12" s="8" t="s">
        <v>161</v>
      </c>
      <c r="C12" s="8" t="s">
        <v>25</v>
      </c>
      <c r="D12" s="8" t="s">
        <v>26</v>
      </c>
      <c r="E12" s="8" t="s">
        <v>162</v>
      </c>
      <c r="F12" s="9" t="s">
        <v>163</v>
      </c>
      <c r="G12" s="10">
        <v>1290.7</v>
      </c>
      <c r="H12" s="10">
        <v>454.6</v>
      </c>
      <c r="I12" s="10">
        <v>191.8</v>
      </c>
      <c r="J12" s="10">
        <v>1028.3</v>
      </c>
      <c r="K12" s="10">
        <v>309.3</v>
      </c>
      <c r="L12" s="10">
        <v>6776.2</v>
      </c>
      <c r="M12" s="10">
        <v>7413.8</v>
      </c>
      <c r="N12" s="11">
        <v>35.9</v>
      </c>
      <c r="O12" s="12">
        <v>7.2</v>
      </c>
      <c r="P12" s="13">
        <v>3105</v>
      </c>
      <c r="Q12" s="12">
        <f t="shared" si="0"/>
        <v>35.221197799643605</v>
      </c>
      <c r="R12" s="12">
        <f t="shared" si="1"/>
        <v>14.860153405129001</v>
      </c>
      <c r="S12" s="12">
        <v>67.7</v>
      </c>
      <c r="T12" s="11">
        <f t="shared" si="2"/>
        <v>5.7440148756488725</v>
      </c>
      <c r="U12" s="11">
        <f t="shared" si="3"/>
        <v>16.308402991641003</v>
      </c>
    </row>
    <row r="13" spans="1:21" ht="42" customHeight="1" x14ac:dyDescent="0.3">
      <c r="A13" s="2" t="s">
        <v>164</v>
      </c>
      <c r="B13" s="2" t="s">
        <v>165</v>
      </c>
      <c r="C13" s="2" t="s">
        <v>25</v>
      </c>
      <c r="D13" s="2" t="s">
        <v>26</v>
      </c>
      <c r="E13" s="2" t="s">
        <v>166</v>
      </c>
      <c r="F13" s="3" t="s">
        <v>167</v>
      </c>
      <c r="G13" s="4">
        <v>1071.5</v>
      </c>
      <c r="H13" s="4">
        <v>116.6</v>
      </c>
      <c r="I13" s="4">
        <v>391</v>
      </c>
      <c r="J13" s="4">
        <v>52.2</v>
      </c>
      <c r="K13" s="4">
        <v>819.7</v>
      </c>
      <c r="L13" s="4">
        <v>3778.2</v>
      </c>
      <c r="M13" s="4">
        <v>3010.7</v>
      </c>
      <c r="N13" s="5">
        <v>9.6</v>
      </c>
      <c r="O13" s="6">
        <v>9.4</v>
      </c>
      <c r="P13" s="7">
        <v>796</v>
      </c>
      <c r="Q13" s="6">
        <f t="shared" si="0"/>
        <v>10.881941203919739</v>
      </c>
      <c r="R13" s="6">
        <f t="shared" si="1"/>
        <v>36.490900606626226</v>
      </c>
      <c r="S13" s="6">
        <v>61</v>
      </c>
      <c r="T13" s="5">
        <f t="shared" si="2"/>
        <v>2.8097993467102191</v>
      </c>
      <c r="U13" s="5">
        <f t="shared" si="3"/>
        <v>25.820754716981131</v>
      </c>
    </row>
    <row r="14" spans="1:21" ht="42" customHeight="1" x14ac:dyDescent="0.3">
      <c r="A14" s="8" t="s">
        <v>168</v>
      </c>
      <c r="B14" s="8" t="s">
        <v>169</v>
      </c>
      <c r="C14" s="8" t="s">
        <v>25</v>
      </c>
      <c r="D14" s="8" t="s">
        <v>125</v>
      </c>
      <c r="E14" s="8" t="s">
        <v>126</v>
      </c>
      <c r="F14" s="9" t="s">
        <v>170</v>
      </c>
      <c r="G14" s="10">
        <v>1009.2</v>
      </c>
      <c r="H14" s="10">
        <v>823.3</v>
      </c>
      <c r="I14" s="10">
        <v>-707.9</v>
      </c>
      <c r="J14" s="10">
        <v>9616.2000000000007</v>
      </c>
      <c r="K14" s="10">
        <v>396.6</v>
      </c>
      <c r="L14" s="10">
        <v>3019.5</v>
      </c>
      <c r="M14" s="10">
        <v>12312.4</v>
      </c>
      <c r="N14" s="11"/>
      <c r="O14" s="12">
        <v>9.9</v>
      </c>
      <c r="P14" s="13">
        <v>118</v>
      </c>
      <c r="Q14" s="12">
        <f t="shared" si="0"/>
        <v>81.579468886246516</v>
      </c>
      <c r="R14" s="12">
        <f t="shared" si="1"/>
        <v>-70.144669044787946</v>
      </c>
      <c r="S14" s="12">
        <v>96.4</v>
      </c>
      <c r="T14" s="11">
        <f t="shared" si="2"/>
        <v>12.200158541418945</v>
      </c>
      <c r="U14" s="11">
        <f t="shared" si="3"/>
        <v>14.954937446860198</v>
      </c>
    </row>
    <row r="15" spans="1:21" ht="42" customHeight="1" x14ac:dyDescent="0.3">
      <c r="A15" s="2" t="s">
        <v>171</v>
      </c>
      <c r="B15" s="2" t="s">
        <v>172</v>
      </c>
      <c r="C15" s="2" t="s">
        <v>25</v>
      </c>
      <c r="D15" s="2" t="s">
        <v>26</v>
      </c>
      <c r="E15" s="2" t="s">
        <v>162</v>
      </c>
      <c r="F15" s="3" t="s">
        <v>173</v>
      </c>
      <c r="G15" s="4">
        <v>1004.5</v>
      </c>
      <c r="H15" s="4">
        <v>271.8</v>
      </c>
      <c r="I15" s="4">
        <v>7.4</v>
      </c>
      <c r="J15" s="4">
        <v>327</v>
      </c>
      <c r="K15" s="4">
        <v>43.4</v>
      </c>
      <c r="L15" s="4">
        <v>2336.6999999999998</v>
      </c>
      <c r="M15" s="4">
        <v>2620.3000000000002</v>
      </c>
      <c r="N15" s="5">
        <v>166.2</v>
      </c>
      <c r="O15" s="6">
        <v>-3.3</v>
      </c>
      <c r="P15" s="7">
        <v>2700</v>
      </c>
      <c r="Q15" s="6">
        <f t="shared" si="0"/>
        <v>27.058237929318068</v>
      </c>
      <c r="R15" s="6">
        <f t="shared" si="1"/>
        <v>0.7366849178695869</v>
      </c>
      <c r="S15" s="6">
        <v>73</v>
      </c>
      <c r="T15" s="5">
        <f t="shared" si="2"/>
        <v>2.6085614733698361</v>
      </c>
      <c r="U15" s="5">
        <f t="shared" si="3"/>
        <v>9.6405445180279621</v>
      </c>
    </row>
    <row r="16" spans="1:21" ht="42" customHeight="1" x14ac:dyDescent="0.3">
      <c r="A16" s="8" t="s">
        <v>174</v>
      </c>
      <c r="B16" s="8" t="s">
        <v>175</v>
      </c>
      <c r="C16" s="8" t="s">
        <v>25</v>
      </c>
      <c r="D16" s="8" t="s">
        <v>125</v>
      </c>
      <c r="E16" s="8" t="s">
        <v>126</v>
      </c>
      <c r="F16" s="9" t="s">
        <v>176</v>
      </c>
      <c r="G16" s="10">
        <v>775.8</v>
      </c>
      <c r="H16" s="10">
        <v>447.1</v>
      </c>
      <c r="I16" s="10">
        <v>155.6</v>
      </c>
      <c r="J16" s="10">
        <v>2537.6</v>
      </c>
      <c r="K16" s="10">
        <v>74.900000000000006</v>
      </c>
      <c r="L16" s="10">
        <v>5148.8</v>
      </c>
      <c r="M16" s="10">
        <v>7613.4</v>
      </c>
      <c r="N16" s="11">
        <v>31.9</v>
      </c>
      <c r="O16" s="12">
        <v>15.8</v>
      </c>
      <c r="P16" s="13">
        <v>58</v>
      </c>
      <c r="Q16" s="12">
        <f t="shared" si="0"/>
        <v>57.63083268883733</v>
      </c>
      <c r="R16" s="12">
        <f t="shared" si="1"/>
        <v>20.056715648362982</v>
      </c>
      <c r="S16" s="12">
        <v>65.2</v>
      </c>
      <c r="T16" s="11">
        <f t="shared" si="2"/>
        <v>9.8136117556071145</v>
      </c>
      <c r="U16" s="11">
        <f t="shared" si="3"/>
        <v>17.028405278461193</v>
      </c>
    </row>
    <row r="17" spans="1:21" ht="42" customHeight="1" x14ac:dyDescent="0.3">
      <c r="A17" s="2" t="s">
        <v>177</v>
      </c>
      <c r="B17" s="2" t="s">
        <v>178</v>
      </c>
      <c r="C17" s="2" t="s">
        <v>179</v>
      </c>
      <c r="D17" s="2" t="s">
        <v>26</v>
      </c>
      <c r="E17" s="2" t="s">
        <v>65</v>
      </c>
      <c r="F17" s="3" t="s">
        <v>180</v>
      </c>
      <c r="G17" s="4">
        <v>655.4</v>
      </c>
      <c r="H17" s="4">
        <v>-135.19999999999999</v>
      </c>
      <c r="I17" s="4">
        <v>-136.19999999999999</v>
      </c>
      <c r="J17" s="4">
        <v>248.4</v>
      </c>
      <c r="K17" s="4">
        <v>447.7</v>
      </c>
      <c r="L17" s="4">
        <v>1483.9</v>
      </c>
      <c r="M17" s="4">
        <v>1284.5999999999999</v>
      </c>
      <c r="N17" s="5"/>
      <c r="O17" s="6">
        <v>8.1</v>
      </c>
      <c r="P17" s="7">
        <v>1605</v>
      </c>
      <c r="Q17" s="6">
        <f t="shared" si="0"/>
        <v>-20.628623741226733</v>
      </c>
      <c r="R17" s="6">
        <f t="shared" si="1"/>
        <v>-20.781202319194385</v>
      </c>
      <c r="S17" s="6">
        <v>74.8</v>
      </c>
      <c r="T17" s="5">
        <f t="shared" si="2"/>
        <v>1.9600244125724748</v>
      </c>
      <c r="U17" s="5" t="str">
        <f t="shared" si="3"/>
        <v/>
      </c>
    </row>
    <row r="18" spans="1:21" ht="42" customHeight="1" x14ac:dyDescent="0.3">
      <c r="A18" s="8" t="s">
        <v>181</v>
      </c>
      <c r="B18" s="8" t="s">
        <v>182</v>
      </c>
      <c r="C18" s="8" t="s">
        <v>25</v>
      </c>
      <c r="D18" s="8" t="s">
        <v>26</v>
      </c>
      <c r="E18" s="8" t="s">
        <v>162</v>
      </c>
      <c r="F18" s="9" t="s">
        <v>183</v>
      </c>
      <c r="G18" s="10">
        <v>637.79999999999995</v>
      </c>
      <c r="H18" s="10">
        <v>245.5</v>
      </c>
      <c r="I18" s="10">
        <v>239.4</v>
      </c>
      <c r="J18" s="10">
        <v>10.7</v>
      </c>
      <c r="K18" s="10">
        <v>735.1</v>
      </c>
      <c r="L18" s="10">
        <v>4770.8</v>
      </c>
      <c r="M18" s="10">
        <v>3956.1</v>
      </c>
      <c r="N18" s="11">
        <v>21.3</v>
      </c>
      <c r="O18" s="12">
        <v>9.8000000000000007</v>
      </c>
      <c r="P18" s="13">
        <v>830</v>
      </c>
      <c r="Q18" s="12">
        <f t="shared" si="0"/>
        <v>38.491690185010981</v>
      </c>
      <c r="R18" s="12">
        <f t="shared" si="1"/>
        <v>37.535277516462848</v>
      </c>
      <c r="S18" s="12">
        <v>89.7</v>
      </c>
      <c r="T18" s="11">
        <f t="shared" si="2"/>
        <v>6.2027281279397934</v>
      </c>
      <c r="U18" s="11">
        <f t="shared" si="3"/>
        <v>16.114460285132381</v>
      </c>
    </row>
    <row r="19" spans="1:21" ht="42" customHeight="1" x14ac:dyDescent="0.3">
      <c r="A19" s="2" t="s">
        <v>184</v>
      </c>
      <c r="B19" s="2" t="s">
        <v>185</v>
      </c>
      <c r="C19" s="2" t="s">
        <v>25</v>
      </c>
      <c r="D19" s="2" t="s">
        <v>26</v>
      </c>
      <c r="E19" s="2" t="s">
        <v>162</v>
      </c>
      <c r="F19" s="3" t="s">
        <v>186</v>
      </c>
      <c r="G19" s="4">
        <v>588</v>
      </c>
      <c r="H19" s="4">
        <v>51.7</v>
      </c>
      <c r="I19" s="4">
        <v>-20</v>
      </c>
      <c r="J19" s="4">
        <v>218.8</v>
      </c>
      <c r="K19" s="4">
        <v>492.6</v>
      </c>
      <c r="L19" s="4">
        <v>516.20000000000005</v>
      </c>
      <c r="M19" s="4">
        <v>187.4</v>
      </c>
      <c r="N19" s="5"/>
      <c r="O19" s="6">
        <v>5</v>
      </c>
      <c r="P19" s="7">
        <v>2450</v>
      </c>
      <c r="Q19" s="6">
        <f t="shared" si="0"/>
        <v>8.7925170068027221</v>
      </c>
      <c r="R19" s="6">
        <f t="shared" si="1"/>
        <v>-3.4013605442176873</v>
      </c>
      <c r="S19" s="6">
        <v>52.4</v>
      </c>
      <c r="T19" s="5">
        <f t="shared" si="2"/>
        <v>0.31870748299319729</v>
      </c>
      <c r="U19" s="5">
        <f t="shared" si="3"/>
        <v>3.6247582205029012</v>
      </c>
    </row>
    <row r="20" spans="1:21" ht="42" customHeight="1" x14ac:dyDescent="0.3">
      <c r="A20" s="8" t="s">
        <v>187</v>
      </c>
      <c r="B20" s="8" t="s">
        <v>188</v>
      </c>
      <c r="C20" s="8" t="s">
        <v>25</v>
      </c>
      <c r="D20" s="8" t="s">
        <v>125</v>
      </c>
      <c r="E20" s="8" t="s">
        <v>126</v>
      </c>
      <c r="F20" s="9" t="s">
        <v>189</v>
      </c>
      <c r="G20" s="10">
        <v>379.3</v>
      </c>
      <c r="H20" s="10">
        <v>276.8</v>
      </c>
      <c r="I20" s="10">
        <v>142</v>
      </c>
      <c r="J20" s="10">
        <v>1434.7</v>
      </c>
      <c r="K20" s="10">
        <v>32.5</v>
      </c>
      <c r="L20" s="10">
        <v>4095</v>
      </c>
      <c r="M20" s="10">
        <v>5292.4</v>
      </c>
      <c r="N20" s="11">
        <v>28</v>
      </c>
      <c r="O20" s="12">
        <v>-11.7</v>
      </c>
      <c r="P20" s="13">
        <v>32</v>
      </c>
      <c r="Q20" s="12">
        <f t="shared" si="0"/>
        <v>72.976535723701545</v>
      </c>
      <c r="R20" s="12">
        <f t="shared" si="1"/>
        <v>37.437384655945159</v>
      </c>
      <c r="S20" s="12">
        <v>81</v>
      </c>
      <c r="T20" s="11">
        <f t="shared" si="2"/>
        <v>13.95307144740311</v>
      </c>
      <c r="U20" s="11">
        <f t="shared" si="3"/>
        <v>19.119942196531788</v>
      </c>
    </row>
    <row r="22" spans="1:21" x14ac:dyDescent="0.3">
      <c r="A22" s="14" t="s">
        <v>190</v>
      </c>
      <c r="G22" s="15">
        <f>MEDIAN(G8:G20)</f>
        <v>1009.2</v>
      </c>
      <c r="H22" s="15">
        <f>MEDIAN(H8:H20)</f>
        <v>245.5</v>
      </c>
      <c r="I22" s="15">
        <f>MEDIAN(I8:I20)</f>
        <v>128.4</v>
      </c>
      <c r="L22" s="15">
        <f>MEDIAN(L8:L20)</f>
        <v>3587.8</v>
      </c>
      <c r="M22" s="15">
        <f>MEDIAN(M8:M20)</f>
        <v>3956.1</v>
      </c>
      <c r="N22" s="16">
        <f>MEDIAN(N8:N20)</f>
        <v>30.9</v>
      </c>
      <c r="O22" s="17">
        <f>MEDIAN(O8:O20)</f>
        <v>9.4</v>
      </c>
      <c r="Q22" s="17">
        <f>MEDIAN(Q8:Q20)</f>
        <v>20.790011350737796</v>
      </c>
      <c r="R22" s="17">
        <f>MEDIAN(R8:R20)</f>
        <v>7.9061799973646067</v>
      </c>
      <c r="S22" s="17">
        <f>MEDIAN(S8:S20)</f>
        <v>73</v>
      </c>
      <c r="T22" s="16">
        <f>MEDIAN(T8:T20)</f>
        <v>2.8097993467102191</v>
      </c>
      <c r="U22" s="16">
        <f>MEDIAN(U8:U20)</f>
        <v>16.308402991641003</v>
      </c>
    </row>
    <row r="23" spans="1:21" x14ac:dyDescent="0.3">
      <c r="A23" s="14" t="s">
        <v>191</v>
      </c>
      <c r="G23" s="15">
        <f>AVERAGE(G8:G20)</f>
        <v>1184.8923076923077</v>
      </c>
      <c r="H23" s="15">
        <f>AVERAGE(H8:H20)</f>
        <v>251.94615384615383</v>
      </c>
      <c r="I23" s="15">
        <f>AVERAGE(I8:I20)</f>
        <v>73.515384615384633</v>
      </c>
      <c r="L23" s="15">
        <f>AVERAGE(L8:L20)</f>
        <v>5061.2153846153833</v>
      </c>
      <c r="M23" s="15">
        <f>AVERAGE(M8:M20)</f>
        <v>5797.8615384615387</v>
      </c>
      <c r="N23" s="16">
        <f>AVERAGE(N8:N20)</f>
        <v>44.766666666666666</v>
      </c>
      <c r="O23" s="17">
        <f>AVERAGE(O8:O20)</f>
        <v>15.200000000000001</v>
      </c>
      <c r="Q23" s="17">
        <f>AVERAGE(Q8:Q20)</f>
        <v>26.718403717694397</v>
      </c>
      <c r="R23" s="17">
        <f>AVERAGE(R8:R20)</f>
        <v>6.5977231972372188</v>
      </c>
      <c r="S23" s="17">
        <f>AVERAGE(S8:S20)</f>
        <v>68</v>
      </c>
      <c r="T23" s="16">
        <f>AVERAGE(T8:T20)</f>
        <v>5.4185479146995457</v>
      </c>
      <c r="U23" s="16">
        <f>AVERAGE(U8:U20)</f>
        <v>19.366714791481325</v>
      </c>
    </row>
    <row r="26" spans="1:21" ht="19.95" customHeight="1" x14ac:dyDescent="0.3">
      <c r="A26" s="22" t="s">
        <v>197</v>
      </c>
    </row>
    <row r="27" spans="1:21" x14ac:dyDescent="0.3">
      <c r="A27" s="19" t="s">
        <v>193</v>
      </c>
      <c r="B27" s="23">
        <f>$B$2</f>
        <v>1000</v>
      </c>
    </row>
    <row r="28" spans="1:21" x14ac:dyDescent="0.3">
      <c r="A28" s="19" t="s">
        <v>198</v>
      </c>
      <c r="B28" s="23">
        <f>$B$2*T22</f>
        <v>2809.7993467102192</v>
      </c>
    </row>
    <row r="29" spans="1:21" x14ac:dyDescent="0.3">
      <c r="A29" s="19" t="s">
        <v>199</v>
      </c>
      <c r="B29" s="23">
        <f>$B$2*(Q22/100)*U22</f>
        <v>3390.518833086227</v>
      </c>
    </row>
  </sheetData>
  <mergeCells count="1">
    <mergeCell ref="A6:U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Universe Completo</vt:lpstr>
      <vt:lpstr>Comps Filtradas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Francisco Pini</cp:lastModifiedBy>
  <dcterms:created xsi:type="dcterms:W3CDTF">2026-03-07T12:36:48Z</dcterms:created>
  <dcterms:modified xsi:type="dcterms:W3CDTF">2026-03-07T12:38:18Z</dcterms:modified>
</cp:coreProperties>
</file>