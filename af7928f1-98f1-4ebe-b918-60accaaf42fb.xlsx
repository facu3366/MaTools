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6667fcbc27a88bd9/Pancho Main/Cursor/Fran-Facu Proyecto/"/>
    </mc:Choice>
  </mc:AlternateContent>
  <xr:revisionPtr revIDLastSave="0" documentId="8_{5547681F-7C35-4025-983D-D4352CEBC6AC}" xr6:coauthVersionLast="47" xr6:coauthVersionMax="47" xr10:uidLastSave="{00000000-0000-0000-0000-000000000000}"/>
  <bookViews>
    <workbookView xWindow="-108" yWindow="-108" windowWidth="23256" windowHeight="12456" activeTab="1" xr2:uid="{00000000-000D-0000-FFFF-FFFF00000000}"/>
  </bookViews>
  <sheets>
    <sheet name="Industry Universe" sheetId="1" r:id="rId1"/>
    <sheet name="Comparable Compani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0" i="1" l="1"/>
  <c r="T30" i="1"/>
  <c r="S30" i="1"/>
  <c r="R30" i="1"/>
  <c r="Q30" i="1"/>
  <c r="O30" i="1"/>
  <c r="N30" i="1"/>
  <c r="M30" i="1"/>
  <c r="L30" i="1"/>
  <c r="I30" i="1"/>
  <c r="H30" i="1"/>
  <c r="G30" i="1"/>
  <c r="U29" i="1"/>
  <c r="T29" i="1"/>
  <c r="S29" i="1"/>
  <c r="R29" i="1"/>
  <c r="Q29" i="1"/>
  <c r="O29" i="1"/>
  <c r="N29" i="1"/>
  <c r="M29" i="1"/>
  <c r="L29" i="1"/>
  <c r="I29" i="1"/>
  <c r="H29" i="1"/>
  <c r="G29" i="1"/>
  <c r="B33" i="2"/>
  <c r="B32" i="2"/>
  <c r="B31" i="2"/>
  <c r="U27" i="2"/>
  <c r="T27" i="2"/>
  <c r="S27" i="2"/>
  <c r="R27" i="2"/>
  <c r="Q27" i="2"/>
  <c r="O27" i="2"/>
  <c r="N27" i="2"/>
  <c r="M27" i="2"/>
  <c r="L27" i="2"/>
  <c r="I27" i="2"/>
  <c r="H27" i="2"/>
  <c r="G27" i="2"/>
  <c r="U26" i="2"/>
  <c r="T26" i="2"/>
  <c r="S26" i="2"/>
  <c r="R26" i="2"/>
  <c r="Q26" i="2"/>
  <c r="O26" i="2"/>
  <c r="N26" i="2"/>
  <c r="M26" i="2"/>
  <c r="L26" i="2"/>
  <c r="I26" i="2"/>
  <c r="H26" i="2"/>
  <c r="G26" i="2"/>
</calcChain>
</file>

<file path=xl/sharedStrings.xml><?xml version="1.0" encoding="utf-8"?>
<sst xmlns="http://schemas.openxmlformats.org/spreadsheetml/2006/main" count="253" uniqueCount="105">
  <si>
    <t>PARÁMETROS DEL DEAL</t>
  </si>
  <si>
    <t>Revenue Target ($mm)</t>
  </si>
  <si>
    <t>Rango mínimo (%)</t>
  </si>
  <si>
    <t>Rango máximo (%)</t>
  </si>
  <si>
    <t>Comparable Companies — MELI | 16 comps filtradas</t>
  </si>
  <si>
    <t>Fecha: 23/03/2026  |  Fuente: Yahoo Finance (TTM)  |  DealDesk</t>
  </si>
  <si>
    <t>Ticker</t>
  </si>
  <si>
    <t>Empresa</t>
  </si>
  <si>
    <t>País</t>
  </si>
  <si>
    <t>Sector</t>
  </si>
  <si>
    <t>Industria</t>
  </si>
  <si>
    <t>Descripción</t>
  </si>
  <si>
    <t>Revenue ($mm)</t>
  </si>
  <si>
    <t>EBITDA ($mm)</t>
  </si>
  <si>
    <t>Net Inc ($mm)</t>
  </si>
  <si>
    <t>Deuda ($mm)</t>
  </si>
  <si>
    <t>Cash ($mm)</t>
  </si>
  <si>
    <t>Mkt Cap ($mm)</t>
  </si>
  <si>
    <t>EV ($mm)</t>
  </si>
  <si>
    <t>P/E</t>
  </si>
  <si>
    <t>Rev Growth %</t>
  </si>
  <si>
    <t>Empleados</t>
  </si>
  <si>
    <t>EBITDA Mg%</t>
  </si>
  <si>
    <t>Net Mg%</t>
  </si>
  <si>
    <t>Gross Mg%</t>
  </si>
  <si>
    <t>EV/Revenue</t>
  </si>
  <si>
    <t>EV/EBITDA</t>
  </si>
  <si>
    <t>AMZN</t>
  </si>
  <si>
    <t>Amazon.com, Inc.</t>
  </si>
  <si>
    <t>Consumer Cyclical</t>
  </si>
  <si>
    <t>Internet Retail</t>
  </si>
  <si>
    <t>Amazon.com, Inc. engages in the retail sale of consumer products, advertising, and subscriptions service through online and physical stores in North America and internationally. The company operates through three segments: North America, International, and Amazon Web Services (AWS).</t>
  </si>
  <si>
    <t>JD</t>
  </si>
  <si>
    <t>JD.com, Inc.</t>
  </si>
  <si>
    <t>JD.com, Inc. operates as a supply chain-based technology and service provider in the People's Republic of China and Europe. It operates through three segments: JD Retail, JD Logistics, and New Businesses.</t>
  </si>
  <si>
    <t>PDD</t>
  </si>
  <si>
    <t>PDD Holdings Inc.</t>
  </si>
  <si>
    <t>PDD Holdings Inc., a multinational commerce group that owns and operates a portfolio of businesses. It operates Pinduoduo platform which provides various product categories, including agricultural produce, apparel, shoes, bags, mother and childcare products, food and beverages, consumer…</t>
  </si>
  <si>
    <t>MPNGY</t>
  </si>
  <si>
    <t>MEITUAN</t>
  </si>
  <si>
    <t>Meituan operates as a technology driven retail company in the People's Republic of China, Hong Kong, Macao, Taiwan, and internationally. It operates through Core Local Commerce and New Initiatives segments.</t>
  </si>
  <si>
    <t>CPNG</t>
  </si>
  <si>
    <t>Coupang, Inc.</t>
  </si>
  <si>
    <t>Coupang, Inc., together with its subsidiaries, owns and operates retail business through its mobile applications and internet websites in South Korea and internationally. It operates through Product Commerce and Developing Offerings segments.</t>
  </si>
  <si>
    <t>SE</t>
  </si>
  <si>
    <t>Sea Limited</t>
  </si>
  <si>
    <t>Sea Limited, through its subsidiaries, operates as a consumer internet company in Southeast Asia, Latin America, the rest of Asia, and internationally. The company operates through E-commerce, Digital financial services, and Digital entertainment segments.</t>
  </si>
  <si>
    <t>DLVHF</t>
  </si>
  <si>
    <t>Delivery Hero AG NA</t>
  </si>
  <si>
    <t>Delivery Hero SE provides online food ordering, quick commerce, and delivery services. The company also offers advertising services. It operates in approximately 70 countries across Asia, the Middle East, Africa, Europe, and Latin America.</t>
  </si>
  <si>
    <t>ZLNDY</t>
  </si>
  <si>
    <t>ZALANDO SE</t>
  </si>
  <si>
    <t>Zalando SE operates an online platform for fashion and lifestyle products in Germany and internationally. The company operates through Business-to-Business and Business-to-Consumer segments.</t>
  </si>
  <si>
    <t>DASH</t>
  </si>
  <si>
    <t>DoorDash, Inc.</t>
  </si>
  <si>
    <t>DoorDash, Inc., together with its subsidiaries, operates a commerce platform that connects merchants, consumers, and dashers in the United States and internationally.</t>
  </si>
  <si>
    <t>CHWY</t>
  </si>
  <si>
    <t>Chewy, Inc.</t>
  </si>
  <si>
    <t>Chewy, Inc., together with its subsidiaries, engages in the e-commerce business in the United States. It offers pet food and treats, pet supplies and pet medications, and other pet-health products, as well as pet services.</t>
  </si>
  <si>
    <t>EBAY</t>
  </si>
  <si>
    <t>eBay Inc.</t>
  </si>
  <si>
    <t>eBay Inc., together with its subsidiaries, operates marketplace platforms that connect buyers and sellers in the United States, the United Kingdom, China, Germany, and internationally.</t>
  </si>
  <si>
    <t>CART</t>
  </si>
  <si>
    <t>Maplebear Inc.</t>
  </si>
  <si>
    <t>Maplebear Inc., doing business as Instacart, operates as a technology and enablement partner for the grocery industry in the United States and internationally.</t>
  </si>
  <si>
    <t>ALE.WA</t>
  </si>
  <si>
    <t>ALLEGRO</t>
  </si>
  <si>
    <t>Allegro.eu S.A. operates a commerce platform for consumers in Poland, Czech Republic, Slovakia, Hungary, and internationally. It operates through Allegro, Ceneo, Allegro International, and Other segments.</t>
  </si>
  <si>
    <t>ETSY</t>
  </si>
  <si>
    <t>Etsy, Inc.</t>
  </si>
  <si>
    <t>Etsy, Inc., together with its subsidiaries, operates two-sided online marketplaces that connect buyers and sellers in the United States, the United Kingdom, and internationally. It operates through Etsy and Depop segments.</t>
  </si>
  <si>
    <t>RVLV</t>
  </si>
  <si>
    <t>Revolve Group, Inc.</t>
  </si>
  <si>
    <t>Revolve Group, Inc. operates as a fashion retailer for millennial and generation z consumers in the United States and internationally. The company operates in two segments, REVOLVE and FWRD.</t>
  </si>
  <si>
    <t>GLBE</t>
  </si>
  <si>
    <t>Global-E Online Ltd.</t>
  </si>
  <si>
    <t>Global-E Online Ltd., together with its subsidiaries, provides direct-to-consumer cross-border e-commerce platform in Israel, the United Kingdom, the United States, and internationally. Its platform enables international shoppers to buy online and merchants to sell from and to worldwide.</t>
  </si>
  <si>
    <t>Mediana</t>
  </si>
  <si>
    <t>Promedio</t>
  </si>
  <si>
    <t>── IMPLIED VALUATION ──</t>
  </si>
  <si>
    <t>EV Implied — EV/Revenue (mediana)</t>
  </si>
  <si>
    <t>EV Implied — EV/EBITDA (mediana)</t>
  </si>
  <si>
    <t>Industry Universe — MELI | Technology</t>
  </si>
  <si>
    <t>Fecha: 23/03/2026  |  Fuente: Yahoo Finance (TTM)  |  23 empresas  |  DealDesk</t>
  </si>
  <si>
    <t>BABA</t>
  </si>
  <si>
    <t>Alibaba Group Holding Limited</t>
  </si>
  <si>
    <t>Alibaba Group Holding Limited, through its subsidiaries, provides technology infrastructure and marketing reach to help merchants, brands, retailers, and other businesses to engage with their users and customers in the People's Republic of China and internationally.</t>
  </si>
  <si>
    <t>W</t>
  </si>
  <si>
    <t>Wayfair Inc.</t>
  </si>
  <si>
    <t>Wayfair Inc. engages in the e-commerce business in the United States and internationally. It provides online selections of furniture, décor, housewares, and home improvement products through its sites comprising Wayfair, Joss &amp; Main, AllModern, Birch Lane, Perigold, and Wayfair Professional.</t>
  </si>
  <si>
    <t>NPN.JO</t>
  </si>
  <si>
    <t>Naspers Ltd -N-</t>
  </si>
  <si>
    <t>Naspers Limited operates as a consumer internet company in Africa, Asia, Europe, and internationally. The company operates internet platforms, such as classifieds, an online classifieds platform; Payments and Fintech, a mobile and online payment platform; Food Delivery, an online food ordering and…</t>
  </si>
  <si>
    <t>NEGG</t>
  </si>
  <si>
    <t>Newegg Commerce, Inc.</t>
  </si>
  <si>
    <t>Newegg Commerce, Inc. operates as an electronics-focused e-retailer in the United States, Canada, and internationally.</t>
  </si>
  <si>
    <t>NYKAA.NS</t>
  </si>
  <si>
    <t>FSN E COMMERCE VENTURES</t>
  </si>
  <si>
    <t>FSN E-Commerce Ventures Limited, through its subsidiaries, engages in selling and distribution of beauty, personal care, and fashion products for women, men, children, and home in India and internationally.</t>
  </si>
  <si>
    <t>LQDT</t>
  </si>
  <si>
    <t>Liquidity Services, Inc.</t>
  </si>
  <si>
    <t>Liquidity Services, Inc. engages in the provision of e-commerce marketplaces, self-directed auction listing tools, and value-added services in the United States and internationally.</t>
  </si>
  <si>
    <t>BUKA.JK</t>
  </si>
  <si>
    <t>Bukalapak.com Tbk.</t>
  </si>
  <si>
    <t>PT Bukalapak.com Tbk. operates as an all-commerce platform for various products in Indonesia. It operates through five segments: Gaming, Online to Offline, Retail, Investment, and Corporate.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</si>
</sst>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quot;x&quot;"/>
    <numFmt numFmtId="166" formatCode="0.0&quot;%&quot;"/>
    <numFmt numFmtId="167" formatCode="0&quot;%&quot;"/>
  </numFmts>
  <fonts count="9" x14ac:knownFonts="1">
    <font>
      <sz val="11"/>
      <color theme="1"/>
      <name val="Calibri"/>
      <family val="2"/>
      <scheme val="minor"/>
    </font>
    <font>
      <b/>
      <sz val="13"/>
      <color rgb="FF86BC25"/>
      <name val="Arial"/>
    </font>
    <font>
      <i/>
      <sz val="9"/>
      <color rgb="FF666666"/>
      <name val="Arial"/>
    </font>
    <font>
      <b/>
      <sz val="9"/>
      <color rgb="FFFFFFFF"/>
      <name val="Arial"/>
    </font>
    <font>
      <sz val="9"/>
      <name val="Arial"/>
    </font>
    <font>
      <b/>
      <sz val="9"/>
      <name val="Arial"/>
    </font>
    <font>
      <b/>
      <sz val="11"/>
      <color rgb="FF86BC25"/>
      <name val="Arial"/>
    </font>
    <font>
      <sz val="9"/>
      <color rgb="FF0000FF"/>
      <name val="Arial"/>
    </font>
    <font>
      <b/>
      <sz val="10"/>
      <color rgb="FF86BC25"/>
      <name val="Arial"/>
    </font>
  </fonts>
  <fills count="7">
    <fill>
      <patternFill patternType="none"/>
    </fill>
    <fill>
      <patternFill patternType="gray125"/>
    </fill>
    <fill>
      <patternFill patternType="solid">
        <fgColor rgb="FF86BC25"/>
      </patternFill>
    </fill>
    <fill>
      <patternFill patternType="solid">
        <fgColor rgb="FFFFFFFF"/>
      </patternFill>
    </fill>
    <fill>
      <patternFill patternType="solid">
        <fgColor rgb="FFF5F5F5"/>
      </patternFill>
    </fill>
    <fill>
      <patternFill patternType="solid">
        <fgColor rgb="FFDCE6F1"/>
      </patternFill>
    </fill>
    <fill>
      <patternFill patternType="solid">
        <f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xf>
    <xf numFmtId="0" fontId="4" fillId="3" borderId="1" xfId="0" applyFont="1" applyFill="1" applyBorder="1" applyAlignment="1">
      <alignment horizontal="left" vertical="top" wrapText="1"/>
    </xf>
    <xf numFmtId="164" fontId="4" fillId="3" borderId="1" xfId="0" applyNumberFormat="1" applyFont="1" applyFill="1" applyBorder="1" applyAlignment="1">
      <alignment horizontal="right" vertical="center"/>
    </xf>
    <xf numFmtId="165" fontId="4" fillId="3" borderId="1" xfId="0" applyNumberFormat="1" applyFont="1" applyFill="1" applyBorder="1" applyAlignment="1">
      <alignment horizontal="right" vertical="center"/>
    </xf>
    <xf numFmtId="166" fontId="4" fillId="3" borderId="1" xfId="0" applyNumberFormat="1" applyFont="1" applyFill="1" applyBorder="1" applyAlignment="1">
      <alignment horizontal="right" vertical="center"/>
    </xf>
    <xf numFmtId="3" fontId="4" fillId="3" borderId="1" xfId="0" applyNumberFormat="1" applyFont="1" applyFill="1" applyBorder="1" applyAlignment="1">
      <alignment horizontal="right" vertical="center"/>
    </xf>
    <xf numFmtId="0" fontId="4" fillId="4" borderId="1" xfId="0" applyFont="1" applyFill="1" applyBorder="1" applyAlignment="1">
      <alignment horizontal="left" vertical="center"/>
    </xf>
    <xf numFmtId="0" fontId="4" fillId="4" borderId="1" xfId="0" applyFont="1" applyFill="1" applyBorder="1" applyAlignment="1">
      <alignment horizontal="left" vertical="top" wrapText="1"/>
    </xf>
    <xf numFmtId="164" fontId="4" fillId="4" borderId="1" xfId="0" applyNumberFormat="1" applyFont="1" applyFill="1" applyBorder="1" applyAlignment="1">
      <alignment horizontal="right" vertical="center"/>
    </xf>
    <xf numFmtId="165" fontId="4" fillId="4" borderId="1" xfId="0" applyNumberFormat="1" applyFont="1" applyFill="1" applyBorder="1" applyAlignment="1">
      <alignment horizontal="right" vertical="center"/>
    </xf>
    <xf numFmtId="166" fontId="4" fillId="4" borderId="1" xfId="0" applyNumberFormat="1" applyFont="1" applyFill="1" applyBorder="1" applyAlignment="1">
      <alignment horizontal="right" vertical="center"/>
    </xf>
    <xf numFmtId="3" fontId="4" fillId="4" borderId="1" xfId="0" applyNumberFormat="1" applyFont="1" applyFill="1" applyBorder="1" applyAlignment="1">
      <alignment horizontal="right" vertical="center"/>
    </xf>
    <xf numFmtId="0" fontId="5" fillId="5" borderId="1" xfId="0" applyFont="1" applyFill="1" applyBorder="1"/>
    <xf numFmtId="164" fontId="5" fillId="5" borderId="1" xfId="0" applyNumberFormat="1" applyFont="1" applyFill="1" applyBorder="1" applyAlignment="1">
      <alignment horizontal="right" vertical="center"/>
    </xf>
    <xf numFmtId="165" fontId="5" fillId="5" borderId="1" xfId="0" applyNumberFormat="1" applyFont="1" applyFill="1" applyBorder="1" applyAlignment="1">
      <alignment horizontal="right" vertical="center"/>
    </xf>
    <xf numFmtId="166" fontId="5" fillId="5" borderId="1" xfId="0" applyNumberFormat="1" applyFont="1" applyFill="1" applyBorder="1" applyAlignment="1">
      <alignment horizontal="right" vertical="center"/>
    </xf>
    <xf numFmtId="0" fontId="6" fillId="0" borderId="0" xfId="0" applyFont="1"/>
    <xf numFmtId="0" fontId="4" fillId="0" borderId="0" xfId="0" applyFont="1"/>
    <xf numFmtId="3" fontId="7" fillId="6" borderId="1" xfId="0" applyNumberFormat="1" applyFont="1" applyFill="1" applyBorder="1"/>
    <xf numFmtId="167" fontId="7" fillId="6" borderId="1" xfId="0" applyNumberFormat="1" applyFont="1" applyFill="1" applyBorder="1"/>
    <xf numFmtId="0" fontId="8" fillId="0" borderId="0" xfId="0" applyFont="1"/>
    <xf numFmtId="3" fontId="5" fillId="5" borderId="1" xfId="0" applyNumberFormat="1" applyFont="1" applyFill="1" applyBorder="1" applyAlignment="1">
      <alignment horizontal="right" vertical="center"/>
    </xf>
    <xf numFmtId="0" fontId="2" fillId="0" borderId="0" xfId="0" applyFont="1"/>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
  <sheetViews>
    <sheetView showGridLines="0" workbookViewId="0">
      <pane ySplit="4" topLeftCell="A5" activePane="bottomLeft" state="frozen"/>
      <selection pane="bottomLeft"/>
    </sheetView>
  </sheetViews>
  <sheetFormatPr defaultRowHeight="14.4" x14ac:dyDescent="0.3"/>
  <cols>
    <col min="1" max="1" width="9" customWidth="1"/>
    <col min="2" max="2" width="30" customWidth="1"/>
    <col min="3" max="3" width="14" customWidth="1"/>
    <col min="4" max="4" width="18" customWidth="1"/>
    <col min="5" max="5" width="24" customWidth="1"/>
    <col min="6" max="6" width="60" customWidth="1"/>
    <col min="7" max="7" width="15" customWidth="1"/>
    <col min="8" max="9" width="14" customWidth="1"/>
    <col min="10" max="11" width="13" customWidth="1"/>
    <col min="12" max="12" width="15" customWidth="1"/>
    <col min="13" max="13" width="14" customWidth="1"/>
    <col min="14" max="14" width="9" customWidth="1"/>
    <col min="15" max="17" width="13" customWidth="1"/>
    <col min="18" max="18" width="12" customWidth="1"/>
    <col min="19" max="21" width="13" customWidth="1"/>
  </cols>
  <sheetData>
    <row r="1" spans="1:21" ht="25.95" customHeight="1" x14ac:dyDescent="0.3">
      <c r="A1" s="26" t="s">
        <v>82</v>
      </c>
      <c r="B1" s="25"/>
      <c r="C1" s="25"/>
      <c r="D1" s="25"/>
      <c r="E1" s="25"/>
      <c r="F1" s="25"/>
      <c r="G1" s="25"/>
      <c r="H1" s="25"/>
      <c r="I1" s="25"/>
      <c r="J1" s="25"/>
      <c r="K1" s="25"/>
      <c r="L1" s="25"/>
      <c r="M1" s="25"/>
      <c r="N1" s="25"/>
      <c r="O1" s="25"/>
      <c r="P1" s="25"/>
      <c r="Q1" s="25"/>
      <c r="R1" s="25"/>
      <c r="S1" s="25"/>
      <c r="T1" s="25"/>
      <c r="U1" s="25"/>
    </row>
    <row r="2" spans="1:21" ht="16.05" customHeight="1" x14ac:dyDescent="0.3">
      <c r="A2" s="24" t="s">
        <v>83</v>
      </c>
      <c r="B2" s="25"/>
      <c r="C2" s="25"/>
      <c r="D2" s="25"/>
      <c r="E2" s="25"/>
      <c r="F2" s="25"/>
      <c r="G2" s="25"/>
      <c r="H2" s="25"/>
      <c r="I2" s="25"/>
      <c r="J2" s="25"/>
      <c r="K2" s="25"/>
      <c r="L2" s="25"/>
      <c r="M2" s="25"/>
      <c r="N2" s="25"/>
      <c r="O2" s="25"/>
      <c r="P2" s="25"/>
      <c r="Q2" s="25"/>
      <c r="R2" s="25"/>
      <c r="S2" s="25"/>
      <c r="T2" s="25"/>
      <c r="U2" s="25"/>
    </row>
    <row r="3" spans="1:21" ht="6" customHeight="1" x14ac:dyDescent="0.3"/>
    <row r="4" spans="1:21" ht="30" customHeight="1" x14ac:dyDescent="0.3">
      <c r="A4" s="1" t="s">
        <v>6</v>
      </c>
      <c r="B4" s="1" t="s">
        <v>7</v>
      </c>
      <c r="C4" s="1" t="s">
        <v>8</v>
      </c>
      <c r="D4" s="1" t="s">
        <v>9</v>
      </c>
      <c r="E4" s="1" t="s">
        <v>10</v>
      </c>
      <c r="F4" s="1" t="s">
        <v>11</v>
      </c>
      <c r="G4" s="1" t="s">
        <v>12</v>
      </c>
      <c r="H4" s="1" t="s">
        <v>13</v>
      </c>
      <c r="I4" s="1" t="s">
        <v>14</v>
      </c>
      <c r="J4" s="1" t="s">
        <v>15</v>
      </c>
      <c r="K4" s="1" t="s">
        <v>16</v>
      </c>
      <c r="L4" s="1" t="s">
        <v>17</v>
      </c>
      <c r="M4" s="1" t="s">
        <v>18</v>
      </c>
      <c r="N4" s="1" t="s">
        <v>19</v>
      </c>
      <c r="O4" s="1" t="s">
        <v>20</v>
      </c>
      <c r="P4" s="1" t="s">
        <v>21</v>
      </c>
      <c r="Q4" s="1" t="s">
        <v>22</v>
      </c>
      <c r="R4" s="1" t="s">
        <v>23</v>
      </c>
      <c r="S4" s="1" t="s">
        <v>24</v>
      </c>
      <c r="T4" s="1" t="s">
        <v>25</v>
      </c>
      <c r="U4" s="1" t="s">
        <v>26</v>
      </c>
    </row>
    <row r="5" spans="1:21" ht="31.95" customHeight="1" x14ac:dyDescent="0.3">
      <c r="A5" s="2" t="s">
        <v>27</v>
      </c>
      <c r="B5" s="2" t="s">
        <v>28</v>
      </c>
      <c r="C5" s="2"/>
      <c r="D5" s="2" t="s">
        <v>29</v>
      </c>
      <c r="E5" s="2" t="s">
        <v>30</v>
      </c>
      <c r="F5" s="3" t="s">
        <v>31</v>
      </c>
      <c r="G5" s="4">
        <v>716924</v>
      </c>
      <c r="H5" s="4">
        <v>165341</v>
      </c>
      <c r="I5" s="4">
        <v>77670</v>
      </c>
      <c r="J5" s="4">
        <v>178547</v>
      </c>
      <c r="K5" s="4">
        <v>123029</v>
      </c>
      <c r="L5" s="4">
        <v>2279775.1</v>
      </c>
      <c r="M5" s="4">
        <v>2260148.7000000002</v>
      </c>
      <c r="N5" s="5">
        <v>29.6</v>
      </c>
      <c r="O5" s="6">
        <v>13.6</v>
      </c>
      <c r="P5" s="7">
        <v>1576000</v>
      </c>
      <c r="Q5" s="6">
        <v>23.1</v>
      </c>
      <c r="R5" s="6">
        <v>10.8</v>
      </c>
      <c r="S5" s="6">
        <v>50.3</v>
      </c>
      <c r="T5" s="5">
        <v>3.2</v>
      </c>
      <c r="U5" s="5">
        <v>13.7</v>
      </c>
    </row>
    <row r="6" spans="1:21" ht="31.95" customHeight="1" x14ac:dyDescent="0.3">
      <c r="A6" s="8" t="s">
        <v>32</v>
      </c>
      <c r="B6" s="8" t="s">
        <v>33</v>
      </c>
      <c r="C6" s="8"/>
      <c r="D6" s="8" t="s">
        <v>29</v>
      </c>
      <c r="E6" s="8" t="s">
        <v>30</v>
      </c>
      <c r="F6" s="9" t="s">
        <v>34</v>
      </c>
      <c r="G6" s="10">
        <v>189509.4</v>
      </c>
      <c r="H6" s="10">
        <v>6034.3</v>
      </c>
      <c r="I6" s="10">
        <v>19631</v>
      </c>
      <c r="J6" s="10">
        <v>107105</v>
      </c>
      <c r="K6" s="10">
        <v>213232</v>
      </c>
      <c r="L6" s="10">
        <v>39993.9</v>
      </c>
      <c r="M6" s="10">
        <v>39272</v>
      </c>
      <c r="N6" s="11">
        <v>14.8</v>
      </c>
      <c r="O6" s="12">
        <v>1.5</v>
      </c>
      <c r="P6" s="13">
        <v>900000</v>
      </c>
      <c r="Q6" s="12">
        <v>3.2</v>
      </c>
      <c r="R6" s="12">
        <v>10.4</v>
      </c>
      <c r="S6" s="12">
        <v>64.3</v>
      </c>
      <c r="T6" s="11">
        <v>0.2</v>
      </c>
      <c r="U6" s="11">
        <v>6.5</v>
      </c>
    </row>
    <row r="7" spans="1:21" ht="31.95" customHeight="1" x14ac:dyDescent="0.3">
      <c r="A7" s="2" t="s">
        <v>84</v>
      </c>
      <c r="B7" s="2" t="s">
        <v>85</v>
      </c>
      <c r="C7" s="2"/>
      <c r="D7" s="2" t="s">
        <v>29</v>
      </c>
      <c r="E7" s="2" t="s">
        <v>30</v>
      </c>
      <c r="F7" s="3" t="s">
        <v>86</v>
      </c>
      <c r="G7" s="4">
        <v>147786.9</v>
      </c>
      <c r="H7" s="4">
        <v>18875.3</v>
      </c>
      <c r="I7" s="4">
        <v>92810</v>
      </c>
      <c r="J7" s="4">
        <v>286529</v>
      </c>
      <c r="K7" s="4">
        <v>338110</v>
      </c>
      <c r="L7" s="4">
        <v>301709.3</v>
      </c>
      <c r="M7" s="4">
        <v>2287600.9</v>
      </c>
      <c r="N7" s="5">
        <v>22.4</v>
      </c>
      <c r="O7" s="6">
        <v>1.7</v>
      </c>
      <c r="P7" s="7">
        <v>128197</v>
      </c>
      <c r="Q7" s="6">
        <v>12.8</v>
      </c>
      <c r="R7" s="6">
        <v>62.8</v>
      </c>
      <c r="S7" s="6">
        <v>280.39999999999998</v>
      </c>
      <c r="T7" s="5">
        <v>15.5</v>
      </c>
      <c r="U7" s="5">
        <v>121.2</v>
      </c>
    </row>
    <row r="8" spans="1:21" ht="31.95" customHeight="1" x14ac:dyDescent="0.3">
      <c r="A8" s="8" t="s">
        <v>35</v>
      </c>
      <c r="B8" s="8" t="s">
        <v>36</v>
      </c>
      <c r="C8" s="8"/>
      <c r="D8" s="8" t="s">
        <v>29</v>
      </c>
      <c r="E8" s="8" t="s">
        <v>30</v>
      </c>
      <c r="F8" s="9" t="s">
        <v>37</v>
      </c>
      <c r="G8" s="10">
        <v>60836.6</v>
      </c>
      <c r="H8" s="10">
        <v>14436</v>
      </c>
      <c r="I8" s="10">
        <v>102270.1</v>
      </c>
      <c r="J8" s="10">
        <v>10673.6</v>
      </c>
      <c r="K8" s="10">
        <v>423769.3</v>
      </c>
      <c r="L8" s="10">
        <v>136712</v>
      </c>
      <c r="M8" s="10">
        <v>125301.3</v>
      </c>
      <c r="N8" s="11">
        <v>9.6</v>
      </c>
      <c r="O8" s="12">
        <v>9</v>
      </c>
      <c r="P8" s="13">
        <v>23465</v>
      </c>
      <c r="Q8" s="12">
        <v>23.7</v>
      </c>
      <c r="R8" s="12">
        <v>168.1</v>
      </c>
      <c r="S8" s="12">
        <v>389.7</v>
      </c>
      <c r="T8" s="11">
        <v>2.1</v>
      </c>
      <c r="U8" s="11">
        <v>8.6999999999999993</v>
      </c>
    </row>
    <row r="9" spans="1:21" ht="31.95" customHeight="1" x14ac:dyDescent="0.3">
      <c r="A9" s="2" t="s">
        <v>38</v>
      </c>
      <c r="B9" s="2" t="s">
        <v>39</v>
      </c>
      <c r="C9" s="2"/>
      <c r="D9" s="2" t="s">
        <v>29</v>
      </c>
      <c r="E9" s="2" t="s">
        <v>30</v>
      </c>
      <c r="F9" s="3" t="s">
        <v>40</v>
      </c>
      <c r="G9" s="4">
        <v>52672</v>
      </c>
      <c r="H9" s="4">
        <v>516.79999999999995</v>
      </c>
      <c r="I9" s="4">
        <v>-1988.8</v>
      </c>
      <c r="J9" s="4">
        <v>51265.9</v>
      </c>
      <c r="K9" s="4">
        <v>141287.79999999999</v>
      </c>
      <c r="L9" s="4">
        <v>62537.3</v>
      </c>
      <c r="M9" s="4">
        <v>29329.8</v>
      </c>
      <c r="N9" s="5">
        <v>14.7</v>
      </c>
      <c r="O9" s="6">
        <v>2</v>
      </c>
      <c r="P9" s="7">
        <v>108900</v>
      </c>
      <c r="Q9" s="6">
        <v>1</v>
      </c>
      <c r="R9" s="6">
        <v>-3.8</v>
      </c>
      <c r="S9" s="6">
        <v>230.6</v>
      </c>
      <c r="T9" s="5">
        <v>0.6</v>
      </c>
      <c r="U9" s="5">
        <v>56.8</v>
      </c>
    </row>
    <row r="10" spans="1:21" ht="31.95" customHeight="1" x14ac:dyDescent="0.3">
      <c r="A10" s="8" t="s">
        <v>41</v>
      </c>
      <c r="B10" s="8" t="s">
        <v>42</v>
      </c>
      <c r="C10" s="8"/>
      <c r="D10" s="8" t="s">
        <v>29</v>
      </c>
      <c r="E10" s="8" t="s">
        <v>30</v>
      </c>
      <c r="F10" s="9" t="s">
        <v>43</v>
      </c>
      <c r="G10" s="10">
        <v>34534</v>
      </c>
      <c r="H10" s="10">
        <v>1200</v>
      </c>
      <c r="I10" s="10">
        <v>208</v>
      </c>
      <c r="J10" s="10">
        <v>4635</v>
      </c>
      <c r="K10" s="10">
        <v>6318</v>
      </c>
      <c r="L10" s="10">
        <v>35677.199999999997</v>
      </c>
      <c r="M10" s="10">
        <v>32741.8</v>
      </c>
      <c r="N10" s="11">
        <v>177.4</v>
      </c>
      <c r="O10" s="12">
        <v>10.9</v>
      </c>
      <c r="P10" s="13">
        <v>108000</v>
      </c>
      <c r="Q10" s="12">
        <v>3.5</v>
      </c>
      <c r="R10" s="12">
        <v>0.6</v>
      </c>
      <c r="S10" s="12">
        <v>29.4</v>
      </c>
      <c r="T10" s="11">
        <v>0.9</v>
      </c>
      <c r="U10" s="11">
        <v>27.3</v>
      </c>
    </row>
    <row r="11" spans="1:21" ht="31.95" customHeight="1" x14ac:dyDescent="0.3">
      <c r="A11" s="2" t="s">
        <v>44</v>
      </c>
      <c r="B11" s="2" t="s">
        <v>45</v>
      </c>
      <c r="C11" s="2"/>
      <c r="D11" s="2" t="s">
        <v>29</v>
      </c>
      <c r="E11" s="2" t="s">
        <v>30</v>
      </c>
      <c r="F11" s="3" t="s">
        <v>46</v>
      </c>
      <c r="G11" s="4">
        <v>21037</v>
      </c>
      <c r="H11" s="4">
        <v>1953.9</v>
      </c>
      <c r="I11" s="4">
        <v>1578.1</v>
      </c>
      <c r="J11" s="4">
        <v>3330.4</v>
      </c>
      <c r="K11" s="4">
        <v>10572.2</v>
      </c>
      <c r="L11" s="4">
        <v>47438.6</v>
      </c>
      <c r="M11" s="4">
        <v>40366.699999999997</v>
      </c>
      <c r="N11" s="5">
        <v>31.8</v>
      </c>
      <c r="O11" s="6">
        <v>38.4</v>
      </c>
      <c r="P11" s="7"/>
      <c r="Q11" s="6">
        <v>9.3000000000000007</v>
      </c>
      <c r="R11" s="6">
        <v>7.5</v>
      </c>
      <c r="S11" s="6">
        <v>48.7</v>
      </c>
      <c r="T11" s="5">
        <v>1.9</v>
      </c>
      <c r="U11" s="5">
        <v>20.7</v>
      </c>
    </row>
    <row r="12" spans="1:21" ht="31.95" customHeight="1" x14ac:dyDescent="0.3">
      <c r="A12" s="8" t="s">
        <v>47</v>
      </c>
      <c r="B12" s="8" t="s">
        <v>48</v>
      </c>
      <c r="C12" s="8"/>
      <c r="D12" s="8" t="s">
        <v>29</v>
      </c>
      <c r="E12" s="8" t="s">
        <v>30</v>
      </c>
      <c r="F12" s="9" t="s">
        <v>49</v>
      </c>
      <c r="G12" s="10">
        <v>15601.7</v>
      </c>
      <c r="H12" s="10">
        <v>433.2</v>
      </c>
      <c r="I12" s="10">
        <v>-560.5</v>
      </c>
      <c r="J12" s="10">
        <v>4635.7</v>
      </c>
      <c r="K12" s="10">
        <v>2808.1</v>
      </c>
      <c r="L12" s="10">
        <v>5852.3</v>
      </c>
      <c r="M12" s="10">
        <v>7138.3</v>
      </c>
      <c r="N12" s="11"/>
      <c r="O12" s="12">
        <v>19.2</v>
      </c>
      <c r="P12" s="13">
        <v>43986</v>
      </c>
      <c r="Q12" s="12">
        <v>2.8</v>
      </c>
      <c r="R12" s="12">
        <v>-3.6</v>
      </c>
      <c r="S12" s="12">
        <v>21.9</v>
      </c>
      <c r="T12" s="11">
        <v>0.5</v>
      </c>
      <c r="U12" s="11">
        <v>16.5</v>
      </c>
    </row>
    <row r="13" spans="1:21" ht="31.95" customHeight="1" x14ac:dyDescent="0.3">
      <c r="A13" s="2" t="s">
        <v>50</v>
      </c>
      <c r="B13" s="2" t="s">
        <v>51</v>
      </c>
      <c r="C13" s="2"/>
      <c r="D13" s="2" t="s">
        <v>29</v>
      </c>
      <c r="E13" s="2" t="s">
        <v>30</v>
      </c>
      <c r="F13" s="3" t="s">
        <v>52</v>
      </c>
      <c r="G13" s="4">
        <v>14372.9</v>
      </c>
      <c r="H13" s="4">
        <v>973.5</v>
      </c>
      <c r="I13" s="4">
        <v>212.7</v>
      </c>
      <c r="J13" s="4">
        <v>1441.6</v>
      </c>
      <c r="K13" s="4">
        <v>1877.4</v>
      </c>
      <c r="L13" s="4">
        <v>6474.5</v>
      </c>
      <c r="M13" s="4">
        <v>2803.6</v>
      </c>
      <c r="N13" s="5">
        <v>26.7</v>
      </c>
      <c r="O13" s="6">
        <v>23.4</v>
      </c>
      <c r="P13" s="7">
        <v>16582</v>
      </c>
      <c r="Q13" s="6">
        <v>6.8</v>
      </c>
      <c r="R13" s="6">
        <v>1.5</v>
      </c>
      <c r="S13" s="6">
        <v>34.299999999999997</v>
      </c>
      <c r="T13" s="5">
        <v>0.2</v>
      </c>
      <c r="U13" s="5">
        <v>2.9</v>
      </c>
    </row>
    <row r="14" spans="1:21" ht="31.95" customHeight="1" x14ac:dyDescent="0.3">
      <c r="A14" s="8" t="s">
        <v>53</v>
      </c>
      <c r="B14" s="8" t="s">
        <v>54</v>
      </c>
      <c r="C14" s="8"/>
      <c r="D14" s="8" t="s">
        <v>29</v>
      </c>
      <c r="E14" s="8" t="s">
        <v>30</v>
      </c>
      <c r="F14" s="9" t="s">
        <v>55</v>
      </c>
      <c r="G14" s="10">
        <v>13717</v>
      </c>
      <c r="H14" s="10">
        <v>1472</v>
      </c>
      <c r="I14" s="10">
        <v>935</v>
      </c>
      <c r="J14" s="10">
        <v>3290</v>
      </c>
      <c r="K14" s="10">
        <v>5506</v>
      </c>
      <c r="L14" s="10">
        <v>70776.7</v>
      </c>
      <c r="M14" s="10">
        <v>65845.5</v>
      </c>
      <c r="N14" s="11">
        <v>76.5</v>
      </c>
      <c r="O14" s="12">
        <v>37.700000000000003</v>
      </c>
      <c r="P14" s="13">
        <v>31400</v>
      </c>
      <c r="Q14" s="12">
        <v>10.7</v>
      </c>
      <c r="R14" s="12">
        <v>6.8</v>
      </c>
      <c r="S14" s="12">
        <v>51.8</v>
      </c>
      <c r="T14" s="11">
        <v>4.8</v>
      </c>
      <c r="U14" s="11">
        <v>44.7</v>
      </c>
    </row>
    <row r="15" spans="1:21" ht="31.95" customHeight="1" x14ac:dyDescent="0.3">
      <c r="A15" s="2" t="s">
        <v>56</v>
      </c>
      <c r="B15" s="2" t="s">
        <v>57</v>
      </c>
      <c r="C15" s="2"/>
      <c r="D15" s="2" t="s">
        <v>29</v>
      </c>
      <c r="E15" s="2" t="s">
        <v>30</v>
      </c>
      <c r="F15" s="3" t="s">
        <v>58</v>
      </c>
      <c r="G15" s="4">
        <v>12584.2</v>
      </c>
      <c r="H15" s="4">
        <v>347.9</v>
      </c>
      <c r="I15" s="4">
        <v>206.4</v>
      </c>
      <c r="J15" s="4">
        <v>558.9</v>
      </c>
      <c r="K15" s="4">
        <v>701.5</v>
      </c>
      <c r="L15" s="4">
        <v>9883.2000000000007</v>
      </c>
      <c r="M15" s="4">
        <v>9555.9</v>
      </c>
      <c r="N15" s="5">
        <v>48.6</v>
      </c>
      <c r="O15" s="6">
        <v>8.3000000000000007</v>
      </c>
      <c r="P15" s="7">
        <v>18000</v>
      </c>
      <c r="Q15" s="6">
        <v>2.8</v>
      </c>
      <c r="R15" s="6">
        <v>1.6</v>
      </c>
      <c r="S15" s="6">
        <v>29.6</v>
      </c>
      <c r="T15" s="5">
        <v>0.8</v>
      </c>
      <c r="U15" s="5">
        <v>27.5</v>
      </c>
    </row>
    <row r="16" spans="1:21" ht="31.95" customHeight="1" x14ac:dyDescent="0.3">
      <c r="A16" s="8" t="s">
        <v>87</v>
      </c>
      <c r="B16" s="8" t="s">
        <v>88</v>
      </c>
      <c r="C16" s="8"/>
      <c r="D16" s="8" t="s">
        <v>29</v>
      </c>
      <c r="E16" s="8" t="s">
        <v>30</v>
      </c>
      <c r="F16" s="9" t="s">
        <v>89</v>
      </c>
      <c r="G16" s="10">
        <v>12457</v>
      </c>
      <c r="H16" s="10">
        <v>120</v>
      </c>
      <c r="I16" s="10">
        <v>-313</v>
      </c>
      <c r="J16" s="10">
        <v>4297</v>
      </c>
      <c r="K16" s="10">
        <v>1542</v>
      </c>
      <c r="L16" s="10">
        <v>10174.799999999999</v>
      </c>
      <c r="M16" s="10">
        <v>12214.6</v>
      </c>
      <c r="N16" s="11"/>
      <c r="O16" s="12">
        <v>6.9</v>
      </c>
      <c r="P16" s="13">
        <v>11800</v>
      </c>
      <c r="Q16" s="12">
        <v>1</v>
      </c>
      <c r="R16" s="12">
        <v>-2.5</v>
      </c>
      <c r="S16" s="12">
        <v>30.2</v>
      </c>
      <c r="T16" s="11">
        <v>1</v>
      </c>
      <c r="U16" s="11">
        <v>101.8</v>
      </c>
    </row>
    <row r="17" spans="1:21" ht="31.95" customHeight="1" x14ac:dyDescent="0.3">
      <c r="A17" s="2" t="s">
        <v>59</v>
      </c>
      <c r="B17" s="2" t="s">
        <v>60</v>
      </c>
      <c r="C17" s="2"/>
      <c r="D17" s="2" t="s">
        <v>29</v>
      </c>
      <c r="E17" s="2" t="s">
        <v>30</v>
      </c>
      <c r="F17" s="3" t="s">
        <v>61</v>
      </c>
      <c r="G17" s="4">
        <v>11100</v>
      </c>
      <c r="H17" s="4">
        <v>2960</v>
      </c>
      <c r="I17" s="4">
        <v>1996</v>
      </c>
      <c r="J17" s="4">
        <v>7182</v>
      </c>
      <c r="K17" s="4">
        <v>2919</v>
      </c>
      <c r="L17" s="4">
        <v>40951.199999999997</v>
      </c>
      <c r="M17" s="4">
        <v>44126</v>
      </c>
      <c r="N17" s="5">
        <v>21.3</v>
      </c>
      <c r="O17" s="6">
        <v>15</v>
      </c>
      <c r="P17" s="7">
        <v>12300</v>
      </c>
      <c r="Q17" s="6">
        <v>26.7</v>
      </c>
      <c r="R17" s="6">
        <v>18</v>
      </c>
      <c r="S17" s="6">
        <v>71.5</v>
      </c>
      <c r="T17" s="5">
        <v>4</v>
      </c>
      <c r="U17" s="5">
        <v>14.9</v>
      </c>
    </row>
    <row r="18" spans="1:21" ht="31.95" customHeight="1" x14ac:dyDescent="0.3">
      <c r="A18" s="8" t="s">
        <v>90</v>
      </c>
      <c r="B18" s="8" t="s">
        <v>91</v>
      </c>
      <c r="C18" s="8"/>
      <c r="D18" s="8" t="s">
        <v>29</v>
      </c>
      <c r="E18" s="8" t="s">
        <v>30</v>
      </c>
      <c r="F18" s="9" t="s">
        <v>92</v>
      </c>
      <c r="G18" s="10">
        <v>7855</v>
      </c>
      <c r="H18" s="10">
        <v>382</v>
      </c>
      <c r="I18" s="10">
        <v>5747</v>
      </c>
      <c r="J18" s="10">
        <v>18169</v>
      </c>
      <c r="K18" s="10">
        <v>22343</v>
      </c>
      <c r="L18" s="10">
        <v>684632.6</v>
      </c>
      <c r="M18" s="10">
        <v>733601.8</v>
      </c>
      <c r="N18" s="11">
        <v>7.9</v>
      </c>
      <c r="O18" s="12">
        <v>19.600000000000001</v>
      </c>
      <c r="P18" s="13">
        <v>27010</v>
      </c>
      <c r="Q18" s="12">
        <v>4.9000000000000004</v>
      </c>
      <c r="R18" s="12">
        <v>73.2</v>
      </c>
      <c r="S18" s="12">
        <v>42.8</v>
      </c>
      <c r="T18" s="11">
        <v>93.4</v>
      </c>
      <c r="U18" s="11">
        <v>1920.4</v>
      </c>
    </row>
    <row r="19" spans="1:21" ht="31.95" customHeight="1" x14ac:dyDescent="0.3">
      <c r="A19" s="2" t="s">
        <v>62</v>
      </c>
      <c r="B19" s="2" t="s">
        <v>63</v>
      </c>
      <c r="C19" s="2"/>
      <c r="D19" s="2" t="s">
        <v>29</v>
      </c>
      <c r="E19" s="2" t="s">
        <v>30</v>
      </c>
      <c r="F19" s="3" t="s">
        <v>64</v>
      </c>
      <c r="G19" s="4">
        <v>3742</v>
      </c>
      <c r="H19" s="4">
        <v>598</v>
      </c>
      <c r="I19" s="4">
        <v>438</v>
      </c>
      <c r="J19" s="4">
        <v>36</v>
      </c>
      <c r="K19" s="4">
        <v>687</v>
      </c>
      <c r="L19" s="4">
        <v>9852.9</v>
      </c>
      <c r="M19" s="4">
        <v>8430.9</v>
      </c>
      <c r="N19" s="5">
        <v>23.5</v>
      </c>
      <c r="O19" s="6">
        <v>12.3</v>
      </c>
      <c r="P19" s="7">
        <v>3600</v>
      </c>
      <c r="Q19" s="6">
        <v>16</v>
      </c>
      <c r="R19" s="6">
        <v>11.7</v>
      </c>
      <c r="S19" s="6">
        <v>73.7</v>
      </c>
      <c r="T19" s="5">
        <v>2.2999999999999998</v>
      </c>
      <c r="U19" s="5">
        <v>14.1</v>
      </c>
    </row>
    <row r="20" spans="1:21" ht="31.95" customHeight="1" x14ac:dyDescent="0.3">
      <c r="A20" s="8" t="s">
        <v>65</v>
      </c>
      <c r="B20" s="8" t="s">
        <v>66</v>
      </c>
      <c r="C20" s="8"/>
      <c r="D20" s="8" t="s">
        <v>29</v>
      </c>
      <c r="E20" s="8" t="s">
        <v>30</v>
      </c>
      <c r="F20" s="9" t="s">
        <v>67</v>
      </c>
      <c r="G20" s="10">
        <v>3135</v>
      </c>
      <c r="H20" s="10">
        <v>942.2</v>
      </c>
      <c r="I20" s="10">
        <v>1694.1</v>
      </c>
      <c r="J20" s="10">
        <v>5670.2</v>
      </c>
      <c r="K20" s="10">
        <v>2840.7</v>
      </c>
      <c r="L20" s="10">
        <v>26804.7</v>
      </c>
      <c r="M20" s="10">
        <v>29370.7</v>
      </c>
      <c r="N20" s="11">
        <v>16.3</v>
      </c>
      <c r="O20" s="12"/>
      <c r="P20" s="13">
        <v>5754</v>
      </c>
      <c r="Q20" s="12">
        <v>30.1</v>
      </c>
      <c r="R20" s="12">
        <v>54</v>
      </c>
      <c r="S20" s="12">
        <v>123.8</v>
      </c>
      <c r="T20" s="11">
        <v>9.4</v>
      </c>
      <c r="U20" s="11">
        <v>31.2</v>
      </c>
    </row>
    <row r="21" spans="1:21" ht="31.95" customHeight="1" x14ac:dyDescent="0.3">
      <c r="A21" s="2" t="s">
        <v>68</v>
      </c>
      <c r="B21" s="2" t="s">
        <v>69</v>
      </c>
      <c r="C21" s="2"/>
      <c r="D21" s="2" t="s">
        <v>29</v>
      </c>
      <c r="E21" s="2" t="s">
        <v>30</v>
      </c>
      <c r="F21" s="3" t="s">
        <v>70</v>
      </c>
      <c r="G21" s="4">
        <v>2883.5</v>
      </c>
      <c r="H21" s="4">
        <v>476.3</v>
      </c>
      <c r="I21" s="4">
        <v>163</v>
      </c>
      <c r="J21" s="4">
        <v>3115.1</v>
      </c>
      <c r="K21" s="4">
        <v>1619.9</v>
      </c>
      <c r="L21" s="4">
        <v>5324.2</v>
      </c>
      <c r="M21" s="4">
        <v>6580.9</v>
      </c>
      <c r="N21" s="5">
        <v>38.799999999999997</v>
      </c>
      <c r="O21" s="6">
        <v>3.5</v>
      </c>
      <c r="P21" s="7">
        <v>2375</v>
      </c>
      <c r="Q21" s="6">
        <v>16.5</v>
      </c>
      <c r="R21" s="6">
        <v>5.7</v>
      </c>
      <c r="S21" s="6">
        <v>71.599999999999994</v>
      </c>
      <c r="T21" s="5">
        <v>2.2999999999999998</v>
      </c>
      <c r="U21" s="5">
        <v>13.8</v>
      </c>
    </row>
    <row r="22" spans="1:21" ht="31.95" customHeight="1" x14ac:dyDescent="0.3">
      <c r="A22" s="8" t="s">
        <v>93</v>
      </c>
      <c r="B22" s="8" t="s">
        <v>94</v>
      </c>
      <c r="C22" s="8"/>
      <c r="D22" s="8" t="s">
        <v>29</v>
      </c>
      <c r="E22" s="8" t="s">
        <v>30</v>
      </c>
      <c r="F22" s="9" t="s">
        <v>95</v>
      </c>
      <c r="G22" s="10">
        <v>1313.1</v>
      </c>
      <c r="H22" s="10">
        <v>-19.7</v>
      </c>
      <c r="I22" s="10">
        <v>-22.6</v>
      </c>
      <c r="J22" s="10">
        <v>75.5</v>
      </c>
      <c r="K22" s="10">
        <v>59.1</v>
      </c>
      <c r="L22" s="10">
        <v>768.1</v>
      </c>
      <c r="M22" s="10">
        <v>696.5</v>
      </c>
      <c r="N22" s="11"/>
      <c r="O22" s="12">
        <v>12.5</v>
      </c>
      <c r="P22" s="13">
        <v>762</v>
      </c>
      <c r="Q22" s="12">
        <v>-1.5</v>
      </c>
      <c r="R22" s="12">
        <v>-1.7</v>
      </c>
      <c r="S22" s="12">
        <v>11.3</v>
      </c>
      <c r="T22" s="11">
        <v>0.5</v>
      </c>
      <c r="U22" s="11"/>
    </row>
    <row r="23" spans="1:21" ht="31.95" customHeight="1" x14ac:dyDescent="0.3">
      <c r="A23" s="2" t="s">
        <v>71</v>
      </c>
      <c r="B23" s="2" t="s">
        <v>72</v>
      </c>
      <c r="C23" s="2"/>
      <c r="D23" s="2" t="s">
        <v>29</v>
      </c>
      <c r="E23" s="2" t="s">
        <v>30</v>
      </c>
      <c r="F23" s="3" t="s">
        <v>73</v>
      </c>
      <c r="G23" s="4">
        <v>1225.7</v>
      </c>
      <c r="H23" s="4">
        <v>80.7</v>
      </c>
      <c r="I23" s="4">
        <v>61.7</v>
      </c>
      <c r="J23" s="4">
        <v>32.5</v>
      </c>
      <c r="K23" s="4">
        <v>292.3</v>
      </c>
      <c r="L23" s="4">
        <v>1646.5</v>
      </c>
      <c r="M23" s="4">
        <v>1319.5</v>
      </c>
      <c r="N23" s="5">
        <v>26.8</v>
      </c>
      <c r="O23" s="6">
        <v>10.4</v>
      </c>
      <c r="P23" s="7">
        <v>1664</v>
      </c>
      <c r="Q23" s="6">
        <v>6.6</v>
      </c>
      <c r="R23" s="6">
        <v>5</v>
      </c>
      <c r="S23" s="6">
        <v>53.5</v>
      </c>
      <c r="T23" s="5">
        <v>1.1000000000000001</v>
      </c>
      <c r="U23" s="5">
        <v>16.399999999999999</v>
      </c>
    </row>
    <row r="24" spans="1:21" ht="31.95" customHeight="1" x14ac:dyDescent="0.3">
      <c r="A24" s="8" t="s">
        <v>96</v>
      </c>
      <c r="B24" s="8" t="s">
        <v>97</v>
      </c>
      <c r="C24" s="8"/>
      <c r="D24" s="8" t="s">
        <v>29</v>
      </c>
      <c r="E24" s="8" t="s">
        <v>30</v>
      </c>
      <c r="F24" s="9" t="s">
        <v>98</v>
      </c>
      <c r="G24" s="10">
        <v>1007.5</v>
      </c>
      <c r="H24" s="10">
        <v>72.7</v>
      </c>
      <c r="I24" s="10">
        <v>1413.5</v>
      </c>
      <c r="J24" s="10">
        <v>14070.2</v>
      </c>
      <c r="K24" s="10">
        <v>2136.6999999999998</v>
      </c>
      <c r="L24" s="10">
        <v>672422.7</v>
      </c>
      <c r="M24" s="10">
        <v>704830.5</v>
      </c>
      <c r="N24" s="11">
        <v>489.1</v>
      </c>
      <c r="O24" s="12">
        <v>26.7</v>
      </c>
      <c r="P24" s="13">
        <v>1981</v>
      </c>
      <c r="Q24" s="12">
        <v>7.2</v>
      </c>
      <c r="R24" s="12">
        <v>140.30000000000001</v>
      </c>
      <c r="S24" s="12">
        <v>4190.1000000000004</v>
      </c>
      <c r="T24" s="11">
        <v>699.6</v>
      </c>
      <c r="U24" s="11">
        <v>9695.1</v>
      </c>
    </row>
    <row r="25" spans="1:21" ht="31.95" customHeight="1" x14ac:dyDescent="0.3">
      <c r="A25" s="2" t="s">
        <v>74</v>
      </c>
      <c r="B25" s="2" t="s">
        <v>75</v>
      </c>
      <c r="C25" s="2"/>
      <c r="D25" s="2" t="s">
        <v>29</v>
      </c>
      <c r="E25" s="2" t="s">
        <v>30</v>
      </c>
      <c r="F25" s="3" t="s">
        <v>76</v>
      </c>
      <c r="G25" s="4">
        <v>888.5</v>
      </c>
      <c r="H25" s="4">
        <v>219.5</v>
      </c>
      <c r="I25" s="4">
        <v>68.3</v>
      </c>
      <c r="J25" s="4">
        <v>23.5</v>
      </c>
      <c r="K25" s="4">
        <v>622.79999999999995</v>
      </c>
      <c r="L25" s="4">
        <v>5494</v>
      </c>
      <c r="M25" s="4">
        <v>4903.1000000000004</v>
      </c>
      <c r="N25" s="5">
        <v>83</v>
      </c>
      <c r="O25" s="6">
        <v>28</v>
      </c>
      <c r="P25" s="7"/>
      <c r="Q25" s="6">
        <v>24.7</v>
      </c>
      <c r="R25" s="6">
        <v>7.7</v>
      </c>
      <c r="S25" s="6">
        <v>49.1</v>
      </c>
      <c r="T25" s="5">
        <v>5.5</v>
      </c>
      <c r="U25" s="5">
        <v>22.3</v>
      </c>
    </row>
    <row r="26" spans="1:21" ht="31.95" customHeight="1" x14ac:dyDescent="0.3">
      <c r="A26" s="8" t="s">
        <v>99</v>
      </c>
      <c r="B26" s="8" t="s">
        <v>100</v>
      </c>
      <c r="C26" s="8"/>
      <c r="D26" s="8" t="s">
        <v>29</v>
      </c>
      <c r="E26" s="8" t="s">
        <v>30</v>
      </c>
      <c r="F26" s="9" t="s">
        <v>101</v>
      </c>
      <c r="G26" s="10">
        <v>475.6</v>
      </c>
      <c r="H26" s="10">
        <v>47.8</v>
      </c>
      <c r="I26" s="10">
        <v>29.8</v>
      </c>
      <c r="J26" s="10">
        <v>13.8</v>
      </c>
      <c r="K26" s="10">
        <v>181.4</v>
      </c>
      <c r="L26" s="10">
        <v>921.1</v>
      </c>
      <c r="M26" s="10">
        <v>720.6</v>
      </c>
      <c r="N26" s="11">
        <v>32.299999999999997</v>
      </c>
      <c r="O26" s="12">
        <v>-0.9</v>
      </c>
      <c r="P26" s="13">
        <v>818</v>
      </c>
      <c r="Q26" s="12">
        <v>10.1</v>
      </c>
      <c r="R26" s="12">
        <v>6.3</v>
      </c>
      <c r="S26" s="12">
        <v>45.4</v>
      </c>
      <c r="T26" s="11">
        <v>1.5</v>
      </c>
      <c r="U26" s="11">
        <v>15.1</v>
      </c>
    </row>
    <row r="27" spans="1:21" ht="31.95" customHeight="1" x14ac:dyDescent="0.3">
      <c r="A27" s="2" t="s">
        <v>102</v>
      </c>
      <c r="B27" s="2" t="s">
        <v>103</v>
      </c>
      <c r="C27" s="2"/>
      <c r="D27" s="2" t="s">
        <v>29</v>
      </c>
      <c r="E27" s="2" t="s">
        <v>30</v>
      </c>
      <c r="F27" s="3" t="s">
        <v>104</v>
      </c>
      <c r="G27" s="4">
        <v>349.4</v>
      </c>
      <c r="H27" s="4">
        <v>-5.3</v>
      </c>
      <c r="I27" s="4">
        <v>3142054.8</v>
      </c>
      <c r="J27" s="4">
        <v>112910.9</v>
      </c>
      <c r="K27" s="4">
        <v>21184628.399999999</v>
      </c>
      <c r="L27" s="4">
        <v>14440818.800000001</v>
      </c>
      <c r="M27" s="4">
        <v>-6618582.9000000004</v>
      </c>
      <c r="N27" s="5">
        <v>6.7</v>
      </c>
      <c r="O27" s="6">
        <v>68.099999999999994</v>
      </c>
      <c r="P27" s="7">
        <v>424</v>
      </c>
      <c r="Q27" s="6">
        <v>-1.5</v>
      </c>
      <c r="R27" s="6">
        <v>899271.6</v>
      </c>
      <c r="S27" s="6">
        <v>148620.29999999999</v>
      </c>
      <c r="T27" s="5">
        <v>-18942.7</v>
      </c>
      <c r="U27" s="5"/>
    </row>
    <row r="29" spans="1:21" x14ac:dyDescent="0.3">
      <c r="A29" s="14" t="s">
        <v>77</v>
      </c>
      <c r="G29" s="15">
        <f>MEDIAN(G5:G27)</f>
        <v>12457</v>
      </c>
      <c r="H29" s="15">
        <f>MEDIAN(H5:H27)</f>
        <v>516.79999999999995</v>
      </c>
      <c r="I29" s="15">
        <f>MEDIAN(I5:I27)</f>
        <v>438</v>
      </c>
      <c r="L29" s="15">
        <f>MEDIAN(L5:L27)</f>
        <v>35677.199999999997</v>
      </c>
      <c r="M29" s="15">
        <f>MEDIAN(M5:M27)</f>
        <v>29329.8</v>
      </c>
      <c r="N29" s="16">
        <f>MEDIAN(N5:N27)</f>
        <v>26.75</v>
      </c>
      <c r="O29" s="17">
        <f>MEDIAN(O5:O27)</f>
        <v>12.4</v>
      </c>
      <c r="Q29" s="17">
        <f>MEDIAN(Q5:Q27)</f>
        <v>7.2</v>
      </c>
      <c r="R29" s="17">
        <f>MEDIAN(R5:R27)</f>
        <v>7.5</v>
      </c>
      <c r="S29" s="17">
        <f>MEDIAN(S5:S27)</f>
        <v>51.8</v>
      </c>
      <c r="T29" s="16">
        <f>MEDIAN(T5:T27)</f>
        <v>1.9</v>
      </c>
      <c r="U29" s="16">
        <f>MEDIAN(U5:U27)</f>
        <v>20.7</v>
      </c>
    </row>
    <row r="30" spans="1:21" x14ac:dyDescent="0.3">
      <c r="A30" s="14" t="s">
        <v>78</v>
      </c>
      <c r="G30" s="15">
        <f>AVERAGE(G5:G27)</f>
        <v>57652.521739130432</v>
      </c>
      <c r="H30" s="15">
        <f>AVERAGE(H5:H27)</f>
        <v>9454.6999999999989</v>
      </c>
      <c r="I30" s="15">
        <f>AVERAGE(I5:I27)</f>
        <v>149839.24347826085</v>
      </c>
      <c r="L30" s="15">
        <f>AVERAGE(L5:L27)</f>
        <v>821593.11739130446</v>
      </c>
      <c r="M30" s="15">
        <f>AVERAGE(M5:M27)</f>
        <v>-7464.4913043478991</v>
      </c>
      <c r="N30" s="16">
        <f>AVERAGE(N5:N27)</f>
        <v>59.89</v>
      </c>
      <c r="O30" s="17">
        <f>AVERAGE(O5:O27)</f>
        <v>16.718181818181822</v>
      </c>
      <c r="Q30" s="17">
        <f>AVERAGE(Q5:Q27)</f>
        <v>10.456521739130432</v>
      </c>
      <c r="R30" s="17">
        <f>AVERAGE(R5:R27)</f>
        <v>39124</v>
      </c>
      <c r="S30" s="17">
        <f>AVERAGE(S5:S27)</f>
        <v>6722.3608695652165</v>
      </c>
      <c r="T30" s="16">
        <f>AVERAGE(T5:T27)</f>
        <v>-786.5826086956522</v>
      </c>
      <c r="U30" s="16">
        <f>AVERAGE(U5:U27)</f>
        <v>580.55238095238099</v>
      </c>
    </row>
  </sheetData>
  <mergeCells count="2">
    <mergeCell ref="A1:U1"/>
    <mergeCell ref="A2:U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3"/>
  <sheetViews>
    <sheetView showGridLines="0" tabSelected="1" workbookViewId="0">
      <pane ySplit="8" topLeftCell="A9" activePane="bottomLeft" state="frozen"/>
      <selection pane="bottomLeft"/>
    </sheetView>
  </sheetViews>
  <sheetFormatPr defaultRowHeight="14.4" x14ac:dyDescent="0.3"/>
  <cols>
    <col min="1" max="1" width="9" customWidth="1"/>
    <col min="2" max="2" width="30" customWidth="1"/>
    <col min="3" max="3" width="14" customWidth="1"/>
    <col min="4" max="4" width="18" customWidth="1"/>
    <col min="5" max="5" width="24" customWidth="1"/>
    <col min="6" max="6" width="60" customWidth="1"/>
    <col min="7" max="7" width="15" customWidth="1"/>
    <col min="8" max="9" width="14" customWidth="1"/>
    <col min="10" max="11" width="13" customWidth="1"/>
    <col min="12" max="12" width="15" customWidth="1"/>
    <col min="13" max="13" width="14" customWidth="1"/>
    <col min="14" max="14" width="9" customWidth="1"/>
    <col min="15" max="17" width="13" customWidth="1"/>
    <col min="18" max="18" width="12" customWidth="1"/>
    <col min="19" max="21" width="13" customWidth="1"/>
  </cols>
  <sheetData>
    <row r="1" spans="1:21" ht="19.95" customHeight="1" x14ac:dyDescent="0.3">
      <c r="A1" s="18" t="s">
        <v>0</v>
      </c>
    </row>
    <row r="2" spans="1:21" x14ac:dyDescent="0.3">
      <c r="A2" s="19" t="s">
        <v>1</v>
      </c>
      <c r="B2" s="20">
        <v>28893</v>
      </c>
    </row>
    <row r="3" spans="1:21" x14ac:dyDescent="0.3">
      <c r="A3" s="19" t="s">
        <v>2</v>
      </c>
      <c r="B3" s="21">
        <v>30</v>
      </c>
    </row>
    <row r="4" spans="1:21" x14ac:dyDescent="0.3">
      <c r="A4" s="19" t="s">
        <v>3</v>
      </c>
      <c r="B4" s="21">
        <v>300</v>
      </c>
    </row>
    <row r="5" spans="1:21" ht="6" customHeight="1" x14ac:dyDescent="0.3"/>
    <row r="6" spans="1:21" ht="24" customHeight="1" x14ac:dyDescent="0.3">
      <c r="A6" s="26" t="s">
        <v>4</v>
      </c>
      <c r="B6" s="25"/>
      <c r="C6" s="25"/>
      <c r="D6" s="25"/>
      <c r="E6" s="25"/>
      <c r="F6" s="25"/>
      <c r="G6" s="25"/>
      <c r="H6" s="25"/>
      <c r="I6" s="25"/>
      <c r="J6" s="25"/>
      <c r="K6" s="25"/>
      <c r="L6" s="25"/>
      <c r="M6" s="25"/>
      <c r="N6" s="25"/>
      <c r="O6" s="25"/>
      <c r="P6" s="25"/>
      <c r="Q6" s="25"/>
      <c r="R6" s="25"/>
      <c r="S6" s="25"/>
      <c r="T6" s="25"/>
      <c r="U6" s="25"/>
    </row>
    <row r="7" spans="1:21" ht="16.05" customHeight="1" x14ac:dyDescent="0.3">
      <c r="A7" s="24" t="s">
        <v>5</v>
      </c>
      <c r="B7" s="25"/>
      <c r="C7" s="25"/>
      <c r="D7" s="25"/>
      <c r="E7" s="25"/>
      <c r="F7" s="25"/>
      <c r="G7" s="25"/>
      <c r="H7" s="25"/>
      <c r="I7" s="25"/>
      <c r="J7" s="25"/>
      <c r="K7" s="25"/>
      <c r="L7" s="25"/>
      <c r="M7" s="25"/>
      <c r="N7" s="25"/>
      <c r="O7" s="25"/>
      <c r="P7" s="25"/>
      <c r="Q7" s="25"/>
      <c r="R7" s="25"/>
      <c r="S7" s="25"/>
      <c r="T7" s="25"/>
      <c r="U7" s="25"/>
    </row>
    <row r="8" spans="1:21" ht="30" customHeight="1" x14ac:dyDescent="0.3">
      <c r="A8" s="1" t="s">
        <v>6</v>
      </c>
      <c r="B8" s="1" t="s">
        <v>7</v>
      </c>
      <c r="C8" s="1" t="s">
        <v>8</v>
      </c>
      <c r="D8" s="1" t="s">
        <v>9</v>
      </c>
      <c r="E8" s="1" t="s">
        <v>10</v>
      </c>
      <c r="F8" s="1" t="s">
        <v>11</v>
      </c>
      <c r="G8" s="1" t="s">
        <v>12</v>
      </c>
      <c r="H8" s="1" t="s">
        <v>13</v>
      </c>
      <c r="I8" s="1" t="s">
        <v>14</v>
      </c>
      <c r="J8" s="1" t="s">
        <v>15</v>
      </c>
      <c r="K8" s="1" t="s">
        <v>16</v>
      </c>
      <c r="L8" s="1" t="s">
        <v>17</v>
      </c>
      <c r="M8" s="1" t="s">
        <v>18</v>
      </c>
      <c r="N8" s="1" t="s">
        <v>19</v>
      </c>
      <c r="O8" s="1" t="s">
        <v>20</v>
      </c>
      <c r="P8" s="1" t="s">
        <v>21</v>
      </c>
      <c r="Q8" s="1" t="s">
        <v>22</v>
      </c>
      <c r="R8" s="1" t="s">
        <v>23</v>
      </c>
      <c r="S8" s="1" t="s">
        <v>24</v>
      </c>
      <c r="T8" s="1" t="s">
        <v>25</v>
      </c>
      <c r="U8" s="1" t="s">
        <v>26</v>
      </c>
    </row>
    <row r="9" spans="1:21" ht="31.95" customHeight="1" x14ac:dyDescent="0.3">
      <c r="A9" s="2" t="s">
        <v>27</v>
      </c>
      <c r="B9" s="2" t="s">
        <v>28</v>
      </c>
      <c r="C9" s="2"/>
      <c r="D9" s="2" t="s">
        <v>29</v>
      </c>
      <c r="E9" s="2" t="s">
        <v>30</v>
      </c>
      <c r="F9" s="3" t="s">
        <v>31</v>
      </c>
      <c r="G9" s="4">
        <v>716924</v>
      </c>
      <c r="H9" s="4">
        <v>165341</v>
      </c>
      <c r="I9" s="4">
        <v>77670</v>
      </c>
      <c r="J9" s="4">
        <v>178547</v>
      </c>
      <c r="K9" s="4">
        <v>123029</v>
      </c>
      <c r="L9" s="4">
        <v>2279775.1</v>
      </c>
      <c r="M9" s="4">
        <v>2260148.7000000002</v>
      </c>
      <c r="N9" s="5">
        <v>29.6</v>
      </c>
      <c r="O9" s="6">
        <v>13.6</v>
      </c>
      <c r="P9" s="7">
        <v>1576000</v>
      </c>
      <c r="Q9" s="6">
        <v>23.1</v>
      </c>
      <c r="R9" s="6">
        <v>10.8</v>
      </c>
      <c r="S9" s="6">
        <v>50.3</v>
      </c>
      <c r="T9" s="5">
        <v>3.2</v>
      </c>
      <c r="U9" s="5">
        <v>13.7</v>
      </c>
    </row>
    <row r="10" spans="1:21" ht="31.95" customHeight="1" x14ac:dyDescent="0.3">
      <c r="A10" s="8" t="s">
        <v>32</v>
      </c>
      <c r="B10" s="8" t="s">
        <v>33</v>
      </c>
      <c r="C10" s="8"/>
      <c r="D10" s="8" t="s">
        <v>29</v>
      </c>
      <c r="E10" s="8" t="s">
        <v>30</v>
      </c>
      <c r="F10" s="9" t="s">
        <v>34</v>
      </c>
      <c r="G10" s="10">
        <v>189509.4</v>
      </c>
      <c r="H10" s="10">
        <v>6034.3</v>
      </c>
      <c r="I10" s="10">
        <v>19631</v>
      </c>
      <c r="J10" s="10">
        <v>107105</v>
      </c>
      <c r="K10" s="10">
        <v>213232</v>
      </c>
      <c r="L10" s="10">
        <v>39993.9</v>
      </c>
      <c r="M10" s="10">
        <v>39272</v>
      </c>
      <c r="N10" s="11">
        <v>14.8</v>
      </c>
      <c r="O10" s="12">
        <v>1.5</v>
      </c>
      <c r="P10" s="13">
        <v>900000</v>
      </c>
      <c r="Q10" s="12">
        <v>3.2</v>
      </c>
      <c r="R10" s="12">
        <v>10.4</v>
      </c>
      <c r="S10" s="12">
        <v>64.3</v>
      </c>
      <c r="T10" s="11">
        <v>0.2</v>
      </c>
      <c r="U10" s="11">
        <v>6.5</v>
      </c>
    </row>
    <row r="11" spans="1:21" ht="31.95" customHeight="1" x14ac:dyDescent="0.3">
      <c r="A11" s="2" t="s">
        <v>35</v>
      </c>
      <c r="B11" s="2" t="s">
        <v>36</v>
      </c>
      <c r="C11" s="2"/>
      <c r="D11" s="2" t="s">
        <v>29</v>
      </c>
      <c r="E11" s="2" t="s">
        <v>30</v>
      </c>
      <c r="F11" s="3" t="s">
        <v>37</v>
      </c>
      <c r="G11" s="4">
        <v>60836.6</v>
      </c>
      <c r="H11" s="4">
        <v>14436</v>
      </c>
      <c r="I11" s="4">
        <v>102270.1</v>
      </c>
      <c r="J11" s="4">
        <v>10673.6</v>
      </c>
      <c r="K11" s="4">
        <v>423769.3</v>
      </c>
      <c r="L11" s="4">
        <v>136712</v>
      </c>
      <c r="M11" s="4">
        <v>125301.3</v>
      </c>
      <c r="N11" s="5">
        <v>9.6</v>
      </c>
      <c r="O11" s="6">
        <v>9</v>
      </c>
      <c r="P11" s="7">
        <v>23465</v>
      </c>
      <c r="Q11" s="6">
        <v>23.7</v>
      </c>
      <c r="R11" s="6">
        <v>168.1</v>
      </c>
      <c r="S11" s="6">
        <v>389.7</v>
      </c>
      <c r="T11" s="5">
        <v>2.1</v>
      </c>
      <c r="U11" s="5">
        <v>8.6999999999999993</v>
      </c>
    </row>
    <row r="12" spans="1:21" ht="31.95" customHeight="1" x14ac:dyDescent="0.3">
      <c r="A12" s="8" t="s">
        <v>38</v>
      </c>
      <c r="B12" s="8" t="s">
        <v>39</v>
      </c>
      <c r="C12" s="8"/>
      <c r="D12" s="8" t="s">
        <v>29</v>
      </c>
      <c r="E12" s="8" t="s">
        <v>30</v>
      </c>
      <c r="F12" s="9" t="s">
        <v>40</v>
      </c>
      <c r="G12" s="10">
        <v>52672</v>
      </c>
      <c r="H12" s="10">
        <v>516.79999999999995</v>
      </c>
      <c r="I12" s="10">
        <v>-1988.8</v>
      </c>
      <c r="J12" s="10">
        <v>51265.9</v>
      </c>
      <c r="K12" s="10">
        <v>141287.79999999999</v>
      </c>
      <c r="L12" s="10">
        <v>62537.3</v>
      </c>
      <c r="M12" s="10">
        <v>29329.8</v>
      </c>
      <c r="N12" s="11">
        <v>14.7</v>
      </c>
      <c r="O12" s="12">
        <v>2</v>
      </c>
      <c r="P12" s="13">
        <v>108900</v>
      </c>
      <c r="Q12" s="12">
        <v>1</v>
      </c>
      <c r="R12" s="12">
        <v>-3.8</v>
      </c>
      <c r="S12" s="12">
        <v>230.6</v>
      </c>
      <c r="T12" s="11">
        <v>0.6</v>
      </c>
      <c r="U12" s="11">
        <v>56.8</v>
      </c>
    </row>
    <row r="13" spans="1:21" ht="31.95" customHeight="1" x14ac:dyDescent="0.3">
      <c r="A13" s="2" t="s">
        <v>41</v>
      </c>
      <c r="B13" s="2" t="s">
        <v>42</v>
      </c>
      <c r="C13" s="2"/>
      <c r="D13" s="2" t="s">
        <v>29</v>
      </c>
      <c r="E13" s="2" t="s">
        <v>30</v>
      </c>
      <c r="F13" s="3" t="s">
        <v>43</v>
      </c>
      <c r="G13" s="4">
        <v>34534</v>
      </c>
      <c r="H13" s="4">
        <v>1200</v>
      </c>
      <c r="I13" s="4">
        <v>208</v>
      </c>
      <c r="J13" s="4">
        <v>4635</v>
      </c>
      <c r="K13" s="4">
        <v>6318</v>
      </c>
      <c r="L13" s="4">
        <v>35677.199999999997</v>
      </c>
      <c r="M13" s="4">
        <v>32741.8</v>
      </c>
      <c r="N13" s="5">
        <v>177.4</v>
      </c>
      <c r="O13" s="6">
        <v>10.9</v>
      </c>
      <c r="P13" s="7">
        <v>108000</v>
      </c>
      <c r="Q13" s="6">
        <v>3.5</v>
      </c>
      <c r="R13" s="6">
        <v>0.6</v>
      </c>
      <c r="S13" s="6">
        <v>29.4</v>
      </c>
      <c r="T13" s="5">
        <v>0.9</v>
      </c>
      <c r="U13" s="5">
        <v>27.3</v>
      </c>
    </row>
    <row r="14" spans="1:21" ht="31.95" customHeight="1" x14ac:dyDescent="0.3">
      <c r="A14" s="8" t="s">
        <v>44</v>
      </c>
      <c r="B14" s="8" t="s">
        <v>45</v>
      </c>
      <c r="C14" s="8"/>
      <c r="D14" s="8" t="s">
        <v>29</v>
      </c>
      <c r="E14" s="8" t="s">
        <v>30</v>
      </c>
      <c r="F14" s="9" t="s">
        <v>46</v>
      </c>
      <c r="G14" s="10">
        <v>21037</v>
      </c>
      <c r="H14" s="10">
        <v>1953.9</v>
      </c>
      <c r="I14" s="10">
        <v>1578.1</v>
      </c>
      <c r="J14" s="10">
        <v>3330.4</v>
      </c>
      <c r="K14" s="10">
        <v>10572.2</v>
      </c>
      <c r="L14" s="10">
        <v>47438.6</v>
      </c>
      <c r="M14" s="10">
        <v>40366.699999999997</v>
      </c>
      <c r="N14" s="11">
        <v>31.8</v>
      </c>
      <c r="O14" s="12">
        <v>38.4</v>
      </c>
      <c r="P14" s="13"/>
      <c r="Q14" s="12">
        <v>9.3000000000000007</v>
      </c>
      <c r="R14" s="12">
        <v>7.5</v>
      </c>
      <c r="S14" s="12">
        <v>48.7</v>
      </c>
      <c r="T14" s="11">
        <v>1.9</v>
      </c>
      <c r="U14" s="11">
        <v>20.7</v>
      </c>
    </row>
    <row r="15" spans="1:21" ht="31.95" customHeight="1" x14ac:dyDescent="0.3">
      <c r="A15" s="2" t="s">
        <v>47</v>
      </c>
      <c r="B15" s="2" t="s">
        <v>48</v>
      </c>
      <c r="C15" s="2"/>
      <c r="D15" s="2" t="s">
        <v>29</v>
      </c>
      <c r="E15" s="2" t="s">
        <v>30</v>
      </c>
      <c r="F15" s="3" t="s">
        <v>49</v>
      </c>
      <c r="G15" s="4">
        <v>15601.7</v>
      </c>
      <c r="H15" s="4">
        <v>433.2</v>
      </c>
      <c r="I15" s="4">
        <v>-560.5</v>
      </c>
      <c r="J15" s="4">
        <v>4635.7</v>
      </c>
      <c r="K15" s="4">
        <v>2808.1</v>
      </c>
      <c r="L15" s="4">
        <v>5852.3</v>
      </c>
      <c r="M15" s="4">
        <v>7138.3</v>
      </c>
      <c r="N15" s="5"/>
      <c r="O15" s="6">
        <v>19.2</v>
      </c>
      <c r="P15" s="7">
        <v>43986</v>
      </c>
      <c r="Q15" s="6">
        <v>2.8</v>
      </c>
      <c r="R15" s="6">
        <v>-3.6</v>
      </c>
      <c r="S15" s="6">
        <v>21.9</v>
      </c>
      <c r="T15" s="5">
        <v>0.5</v>
      </c>
      <c r="U15" s="5">
        <v>16.5</v>
      </c>
    </row>
    <row r="16" spans="1:21" ht="31.95" customHeight="1" x14ac:dyDescent="0.3">
      <c r="A16" s="8" t="s">
        <v>50</v>
      </c>
      <c r="B16" s="8" t="s">
        <v>51</v>
      </c>
      <c r="C16" s="8"/>
      <c r="D16" s="8" t="s">
        <v>29</v>
      </c>
      <c r="E16" s="8" t="s">
        <v>30</v>
      </c>
      <c r="F16" s="9" t="s">
        <v>52</v>
      </c>
      <c r="G16" s="10">
        <v>14372.9</v>
      </c>
      <c r="H16" s="10">
        <v>973.5</v>
      </c>
      <c r="I16" s="10">
        <v>212.7</v>
      </c>
      <c r="J16" s="10">
        <v>1441.6</v>
      </c>
      <c r="K16" s="10">
        <v>1877.4</v>
      </c>
      <c r="L16" s="10">
        <v>6474.5</v>
      </c>
      <c r="M16" s="10">
        <v>2803.6</v>
      </c>
      <c r="N16" s="11">
        <v>26.7</v>
      </c>
      <c r="O16" s="12">
        <v>23.4</v>
      </c>
      <c r="P16" s="13">
        <v>16582</v>
      </c>
      <c r="Q16" s="12">
        <v>6.8</v>
      </c>
      <c r="R16" s="12">
        <v>1.5</v>
      </c>
      <c r="S16" s="12">
        <v>34.299999999999997</v>
      </c>
      <c r="T16" s="11">
        <v>0.2</v>
      </c>
      <c r="U16" s="11">
        <v>2.9</v>
      </c>
    </row>
    <row r="17" spans="1:21" ht="31.95" customHeight="1" x14ac:dyDescent="0.3">
      <c r="A17" s="2" t="s">
        <v>53</v>
      </c>
      <c r="B17" s="2" t="s">
        <v>54</v>
      </c>
      <c r="C17" s="2"/>
      <c r="D17" s="2" t="s">
        <v>29</v>
      </c>
      <c r="E17" s="2" t="s">
        <v>30</v>
      </c>
      <c r="F17" s="3" t="s">
        <v>55</v>
      </c>
      <c r="G17" s="4">
        <v>13717</v>
      </c>
      <c r="H17" s="4">
        <v>1472</v>
      </c>
      <c r="I17" s="4">
        <v>935</v>
      </c>
      <c r="J17" s="4">
        <v>3290</v>
      </c>
      <c r="K17" s="4">
        <v>5506</v>
      </c>
      <c r="L17" s="4">
        <v>70776.7</v>
      </c>
      <c r="M17" s="4">
        <v>65845.5</v>
      </c>
      <c r="N17" s="5">
        <v>76.5</v>
      </c>
      <c r="O17" s="6">
        <v>37.700000000000003</v>
      </c>
      <c r="P17" s="7">
        <v>31400</v>
      </c>
      <c r="Q17" s="6">
        <v>10.7</v>
      </c>
      <c r="R17" s="6">
        <v>6.8</v>
      </c>
      <c r="S17" s="6">
        <v>51.8</v>
      </c>
      <c r="T17" s="5">
        <v>4.8</v>
      </c>
      <c r="U17" s="5">
        <v>44.7</v>
      </c>
    </row>
    <row r="18" spans="1:21" ht="31.95" customHeight="1" x14ac:dyDescent="0.3">
      <c r="A18" s="8" t="s">
        <v>56</v>
      </c>
      <c r="B18" s="8" t="s">
        <v>57</v>
      </c>
      <c r="C18" s="8"/>
      <c r="D18" s="8" t="s">
        <v>29</v>
      </c>
      <c r="E18" s="8" t="s">
        <v>30</v>
      </c>
      <c r="F18" s="9" t="s">
        <v>58</v>
      </c>
      <c r="G18" s="10">
        <v>12584.2</v>
      </c>
      <c r="H18" s="10">
        <v>347.9</v>
      </c>
      <c r="I18" s="10">
        <v>206.4</v>
      </c>
      <c r="J18" s="10">
        <v>558.9</v>
      </c>
      <c r="K18" s="10">
        <v>701.5</v>
      </c>
      <c r="L18" s="10">
        <v>9883.2000000000007</v>
      </c>
      <c r="M18" s="10">
        <v>9555.9</v>
      </c>
      <c r="N18" s="11">
        <v>48.6</v>
      </c>
      <c r="O18" s="12">
        <v>8.3000000000000007</v>
      </c>
      <c r="P18" s="13">
        <v>18000</v>
      </c>
      <c r="Q18" s="12">
        <v>2.8</v>
      </c>
      <c r="R18" s="12">
        <v>1.6</v>
      </c>
      <c r="S18" s="12">
        <v>29.6</v>
      </c>
      <c r="T18" s="11">
        <v>0.8</v>
      </c>
      <c r="U18" s="11">
        <v>27.5</v>
      </c>
    </row>
    <row r="19" spans="1:21" ht="31.95" customHeight="1" x14ac:dyDescent="0.3">
      <c r="A19" s="2" t="s">
        <v>59</v>
      </c>
      <c r="B19" s="2" t="s">
        <v>60</v>
      </c>
      <c r="C19" s="2"/>
      <c r="D19" s="2" t="s">
        <v>29</v>
      </c>
      <c r="E19" s="2" t="s">
        <v>30</v>
      </c>
      <c r="F19" s="3" t="s">
        <v>61</v>
      </c>
      <c r="G19" s="4">
        <v>11100</v>
      </c>
      <c r="H19" s="4">
        <v>2960</v>
      </c>
      <c r="I19" s="4">
        <v>1996</v>
      </c>
      <c r="J19" s="4">
        <v>7182</v>
      </c>
      <c r="K19" s="4">
        <v>2919</v>
      </c>
      <c r="L19" s="4">
        <v>40951.199999999997</v>
      </c>
      <c r="M19" s="4">
        <v>44126</v>
      </c>
      <c r="N19" s="5">
        <v>21.3</v>
      </c>
      <c r="O19" s="6">
        <v>15</v>
      </c>
      <c r="P19" s="7">
        <v>12300</v>
      </c>
      <c r="Q19" s="6">
        <v>26.7</v>
      </c>
      <c r="R19" s="6">
        <v>18</v>
      </c>
      <c r="S19" s="6">
        <v>71.5</v>
      </c>
      <c r="T19" s="5">
        <v>4</v>
      </c>
      <c r="U19" s="5">
        <v>14.9</v>
      </c>
    </row>
    <row r="20" spans="1:21" ht="31.95" customHeight="1" x14ac:dyDescent="0.3">
      <c r="A20" s="8" t="s">
        <v>62</v>
      </c>
      <c r="B20" s="8" t="s">
        <v>63</v>
      </c>
      <c r="C20" s="8"/>
      <c r="D20" s="8" t="s">
        <v>29</v>
      </c>
      <c r="E20" s="8" t="s">
        <v>30</v>
      </c>
      <c r="F20" s="9" t="s">
        <v>64</v>
      </c>
      <c r="G20" s="10">
        <v>3742</v>
      </c>
      <c r="H20" s="10">
        <v>598</v>
      </c>
      <c r="I20" s="10">
        <v>438</v>
      </c>
      <c r="J20" s="10">
        <v>36</v>
      </c>
      <c r="K20" s="10">
        <v>687</v>
      </c>
      <c r="L20" s="10">
        <v>9852.9</v>
      </c>
      <c r="M20" s="10">
        <v>8430.9</v>
      </c>
      <c r="N20" s="11">
        <v>23.5</v>
      </c>
      <c r="O20" s="12">
        <v>12.3</v>
      </c>
      <c r="P20" s="13">
        <v>3600</v>
      </c>
      <c r="Q20" s="12">
        <v>16</v>
      </c>
      <c r="R20" s="12">
        <v>11.7</v>
      </c>
      <c r="S20" s="12">
        <v>73.7</v>
      </c>
      <c r="T20" s="11">
        <v>2.2999999999999998</v>
      </c>
      <c r="U20" s="11">
        <v>14.1</v>
      </c>
    </row>
    <row r="21" spans="1:21" ht="31.95" customHeight="1" x14ac:dyDescent="0.3">
      <c r="A21" s="2" t="s">
        <v>65</v>
      </c>
      <c r="B21" s="2" t="s">
        <v>66</v>
      </c>
      <c r="C21" s="2"/>
      <c r="D21" s="2" t="s">
        <v>29</v>
      </c>
      <c r="E21" s="2" t="s">
        <v>30</v>
      </c>
      <c r="F21" s="3" t="s">
        <v>67</v>
      </c>
      <c r="G21" s="4">
        <v>3135</v>
      </c>
      <c r="H21" s="4">
        <v>942.2</v>
      </c>
      <c r="I21" s="4">
        <v>1694.1</v>
      </c>
      <c r="J21" s="4">
        <v>5670.2</v>
      </c>
      <c r="K21" s="4">
        <v>2840.7</v>
      </c>
      <c r="L21" s="4">
        <v>26804.7</v>
      </c>
      <c r="M21" s="4">
        <v>29370.7</v>
      </c>
      <c r="N21" s="5">
        <v>16.3</v>
      </c>
      <c r="O21" s="6"/>
      <c r="P21" s="7">
        <v>5754</v>
      </c>
      <c r="Q21" s="6">
        <v>30.1</v>
      </c>
      <c r="R21" s="6">
        <v>54</v>
      </c>
      <c r="S21" s="6">
        <v>123.8</v>
      </c>
      <c r="T21" s="5">
        <v>9.4</v>
      </c>
      <c r="U21" s="5">
        <v>31.2</v>
      </c>
    </row>
    <row r="22" spans="1:21" ht="31.95" customHeight="1" x14ac:dyDescent="0.3">
      <c r="A22" s="8" t="s">
        <v>68</v>
      </c>
      <c r="B22" s="8" t="s">
        <v>69</v>
      </c>
      <c r="C22" s="8"/>
      <c r="D22" s="8" t="s">
        <v>29</v>
      </c>
      <c r="E22" s="8" t="s">
        <v>30</v>
      </c>
      <c r="F22" s="9" t="s">
        <v>70</v>
      </c>
      <c r="G22" s="10">
        <v>2883.5</v>
      </c>
      <c r="H22" s="10">
        <v>476.3</v>
      </c>
      <c r="I22" s="10">
        <v>163</v>
      </c>
      <c r="J22" s="10">
        <v>3115.1</v>
      </c>
      <c r="K22" s="10">
        <v>1619.9</v>
      </c>
      <c r="L22" s="10">
        <v>5324.2</v>
      </c>
      <c r="M22" s="10">
        <v>6580.9</v>
      </c>
      <c r="N22" s="11">
        <v>38.799999999999997</v>
      </c>
      <c r="O22" s="12">
        <v>3.5</v>
      </c>
      <c r="P22" s="13">
        <v>2375</v>
      </c>
      <c r="Q22" s="12">
        <v>16.5</v>
      </c>
      <c r="R22" s="12">
        <v>5.7</v>
      </c>
      <c r="S22" s="12">
        <v>71.599999999999994</v>
      </c>
      <c r="T22" s="11">
        <v>2.2999999999999998</v>
      </c>
      <c r="U22" s="11">
        <v>13.8</v>
      </c>
    </row>
    <row r="23" spans="1:21" ht="31.95" customHeight="1" x14ac:dyDescent="0.3">
      <c r="A23" s="2" t="s">
        <v>71</v>
      </c>
      <c r="B23" s="2" t="s">
        <v>72</v>
      </c>
      <c r="C23" s="2"/>
      <c r="D23" s="2" t="s">
        <v>29</v>
      </c>
      <c r="E23" s="2" t="s">
        <v>30</v>
      </c>
      <c r="F23" s="3" t="s">
        <v>73</v>
      </c>
      <c r="G23" s="4">
        <v>1225.7</v>
      </c>
      <c r="H23" s="4">
        <v>80.7</v>
      </c>
      <c r="I23" s="4">
        <v>61.7</v>
      </c>
      <c r="J23" s="4">
        <v>32.5</v>
      </c>
      <c r="K23" s="4">
        <v>292.3</v>
      </c>
      <c r="L23" s="4">
        <v>1646.5</v>
      </c>
      <c r="M23" s="4">
        <v>1319.5</v>
      </c>
      <c r="N23" s="5">
        <v>26.8</v>
      </c>
      <c r="O23" s="6">
        <v>10.4</v>
      </c>
      <c r="P23" s="7">
        <v>1664</v>
      </c>
      <c r="Q23" s="6">
        <v>6.6</v>
      </c>
      <c r="R23" s="6">
        <v>5</v>
      </c>
      <c r="S23" s="6">
        <v>53.5</v>
      </c>
      <c r="T23" s="5">
        <v>1.1000000000000001</v>
      </c>
      <c r="U23" s="5">
        <v>16.399999999999999</v>
      </c>
    </row>
    <row r="24" spans="1:21" ht="31.95" customHeight="1" x14ac:dyDescent="0.3">
      <c r="A24" s="8" t="s">
        <v>74</v>
      </c>
      <c r="B24" s="8" t="s">
        <v>75</v>
      </c>
      <c r="C24" s="8"/>
      <c r="D24" s="8" t="s">
        <v>29</v>
      </c>
      <c r="E24" s="8" t="s">
        <v>30</v>
      </c>
      <c r="F24" s="9" t="s">
        <v>76</v>
      </c>
      <c r="G24" s="10">
        <v>888.5</v>
      </c>
      <c r="H24" s="10">
        <v>219.5</v>
      </c>
      <c r="I24" s="10">
        <v>68.3</v>
      </c>
      <c r="J24" s="10">
        <v>23.5</v>
      </c>
      <c r="K24" s="10">
        <v>622.79999999999995</v>
      </c>
      <c r="L24" s="10">
        <v>5494</v>
      </c>
      <c r="M24" s="10">
        <v>4903.1000000000004</v>
      </c>
      <c r="N24" s="11">
        <v>83</v>
      </c>
      <c r="O24" s="12">
        <v>28</v>
      </c>
      <c r="P24" s="13"/>
      <c r="Q24" s="12">
        <v>24.7</v>
      </c>
      <c r="R24" s="12">
        <v>7.7</v>
      </c>
      <c r="S24" s="12">
        <v>49.1</v>
      </c>
      <c r="T24" s="11">
        <v>5.5</v>
      </c>
      <c r="U24" s="11">
        <v>22.3</v>
      </c>
    </row>
    <row r="26" spans="1:21" x14ac:dyDescent="0.3">
      <c r="A26" s="14" t="s">
        <v>77</v>
      </c>
      <c r="G26" s="15">
        <f>MEDIAN(G9:G24)</f>
        <v>14044.95</v>
      </c>
      <c r="H26" s="15">
        <f>MEDIAN(H9:H24)</f>
        <v>957.85</v>
      </c>
      <c r="I26" s="15">
        <f>MEDIAN(I9:I24)</f>
        <v>325.35000000000002</v>
      </c>
      <c r="L26" s="15">
        <f>MEDIAN(L9:L24)</f>
        <v>31240.949999999997</v>
      </c>
      <c r="M26" s="15">
        <f>MEDIAN(M9:M24)</f>
        <v>29350.25</v>
      </c>
      <c r="N26" s="16">
        <f>MEDIAN(N9:N24)</f>
        <v>26.8</v>
      </c>
      <c r="O26" s="17">
        <f>MEDIAN(O9:O24)</f>
        <v>12.3</v>
      </c>
      <c r="Q26" s="17">
        <f>MEDIAN(Q9:Q24)</f>
        <v>10</v>
      </c>
      <c r="R26" s="17">
        <f>MEDIAN(R9:R24)</f>
        <v>7.15</v>
      </c>
      <c r="S26" s="17">
        <f>MEDIAN(S9:S24)</f>
        <v>52.65</v>
      </c>
      <c r="T26" s="16">
        <f>MEDIAN(T9:T24)</f>
        <v>2</v>
      </c>
      <c r="U26" s="16">
        <f>MEDIAN(U9:U24)</f>
        <v>16.45</v>
      </c>
    </row>
    <row r="27" spans="1:21" x14ac:dyDescent="0.3">
      <c r="A27" s="14" t="s">
        <v>78</v>
      </c>
      <c r="G27" s="15">
        <f>AVERAGE(G9:G24)</f>
        <v>72172.718749999985</v>
      </c>
      <c r="H27" s="15">
        <f>AVERAGE(H9:H24)</f>
        <v>12374.081249999999</v>
      </c>
      <c r="I27" s="15">
        <f>AVERAGE(I9:I24)</f>
        <v>12786.443750000002</v>
      </c>
      <c r="L27" s="15">
        <f>AVERAGE(L9:L24)</f>
        <v>174074.64375000005</v>
      </c>
      <c r="M27" s="15">
        <f>AVERAGE(M9:M24)</f>
        <v>169202.16874999998</v>
      </c>
      <c r="N27" s="16">
        <f>AVERAGE(N9:N24)</f>
        <v>42.626666666666665</v>
      </c>
      <c r="O27" s="17">
        <f>AVERAGE(O9:O24)</f>
        <v>15.546666666666669</v>
      </c>
      <c r="Q27" s="17">
        <f>AVERAGE(Q9:Q24)</f>
        <v>12.968749999999998</v>
      </c>
      <c r="R27" s="17">
        <f>AVERAGE(R9:R24)</f>
        <v>18.875</v>
      </c>
      <c r="S27" s="17">
        <f>AVERAGE(S9:S24)</f>
        <v>87.112499999999983</v>
      </c>
      <c r="T27" s="16">
        <f>AVERAGE(T9:T24)</f>
        <v>2.4874999999999998</v>
      </c>
      <c r="U27" s="16">
        <f>AVERAGE(U9:U24)</f>
        <v>21.125</v>
      </c>
    </row>
    <row r="30" spans="1:21" ht="19.95" customHeight="1" x14ac:dyDescent="0.3">
      <c r="A30" s="22" t="s">
        <v>79</v>
      </c>
    </row>
    <row r="31" spans="1:21" x14ac:dyDescent="0.3">
      <c r="A31" s="19" t="s">
        <v>1</v>
      </c>
      <c r="B31" s="23">
        <f>$B$2</f>
        <v>28893</v>
      </c>
    </row>
    <row r="32" spans="1:21" x14ac:dyDescent="0.3">
      <c r="A32" s="19" t="s">
        <v>80</v>
      </c>
      <c r="B32" s="23">
        <f>$B$2*T26</f>
        <v>57786</v>
      </c>
    </row>
    <row r="33" spans="1:2" x14ac:dyDescent="0.3">
      <c r="A33" s="19" t="s">
        <v>81</v>
      </c>
      <c r="B33" s="23">
        <f>$B$2*(Q26/100)*U26</f>
        <v>47528.985000000001</v>
      </c>
    </row>
  </sheetData>
  <mergeCells count="2">
    <mergeCell ref="A7:U7"/>
    <mergeCell ref="A6:U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Industry Universe</vt:lpstr>
      <vt:lpstr>Comparable 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Francisco Pini</cp:lastModifiedBy>
  <dcterms:created xsi:type="dcterms:W3CDTF">2026-03-23T14:37:40Z</dcterms:created>
  <dcterms:modified xsi:type="dcterms:W3CDTF">2026-03-23T14:38:07Z</dcterms:modified>
</cp:coreProperties>
</file>