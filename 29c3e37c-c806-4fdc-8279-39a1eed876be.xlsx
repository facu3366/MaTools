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dustry Universe" sheetId="1" state="visible" r:id="rId1"/>
    <sheet xmlns:r="http://schemas.openxmlformats.org/officeDocument/2006/relationships" name="Comparable Companies" sheetId="2" state="visible" r:id="rId2"/>
  </sheets>
  <definedNames/>
  <calcPr calcId="124519" fullCalcOnLoad="1"/>
</workbook>
</file>

<file path=xl/styles.xml><?xml version="1.0" encoding="utf-8"?>
<styleSheet xmlns="http://schemas.openxmlformats.org/spreadsheetml/2006/main">
  <numFmts count="4">
    <numFmt numFmtId="164" formatCode="#,##0.0"/>
    <numFmt numFmtId="165" formatCode="0.0&quot;x&quot;"/>
    <numFmt numFmtId="166" formatCode="0.0&quot;%&quot;"/>
    <numFmt numFmtId="167" formatCode="0&quot;%&quot;"/>
  </numFmts>
  <fonts count="9">
    <font>
      <name val="Calibri"/>
      <family val="2"/>
      <color theme="1"/>
      <sz val="11"/>
      <scheme val="minor"/>
    </font>
    <font>
      <name val="Arial"/>
      <b val="1"/>
      <color rgb="0086BC25"/>
      <sz val="13"/>
    </font>
    <font>
      <name val="Arial"/>
      <i val="1"/>
      <color rgb="00666666"/>
      <sz val="9"/>
    </font>
    <font>
      <name val="Arial"/>
      <b val="1"/>
      <color rgb="00FFFFFF"/>
      <sz val="9"/>
    </font>
    <font>
      <name val="Arial"/>
      <sz val="9"/>
    </font>
    <font>
      <name val="Arial"/>
      <b val="1"/>
      <sz val="9"/>
    </font>
    <font>
      <name val="Arial"/>
      <b val="1"/>
      <color rgb="0086BC25"/>
      <sz val="11"/>
    </font>
    <font>
      <name val="Arial"/>
      <color rgb="000000FF"/>
      <sz val="9"/>
    </font>
    <font>
      <name val="Arial"/>
      <b val="1"/>
      <color rgb="0086BC25"/>
      <sz val="10"/>
    </font>
  </fonts>
  <fills count="7">
    <fill>
      <patternFill/>
    </fill>
    <fill>
      <patternFill patternType="gray125"/>
    </fill>
    <fill>
      <patternFill patternType="solid">
        <fgColor rgb="0086BC25"/>
      </patternFill>
    </fill>
    <fill>
      <patternFill patternType="solid">
        <fgColor rgb="00FFFFFF"/>
      </patternFill>
    </fill>
    <fill>
      <patternFill patternType="solid">
        <fgColor rgb="00F5F5F5"/>
      </patternFill>
    </fill>
    <fill>
      <patternFill patternType="solid">
        <fgColor rgb="00DCE6F1"/>
      </patternFill>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left" vertical="center"/>
    </xf>
    <xf numFmtId="0" fontId="4" fillId="3" borderId="1" applyAlignment="1" pivotButton="0" quotePrefix="0" xfId="0">
      <alignment horizontal="left" vertical="top" wrapText="1"/>
    </xf>
    <xf numFmtId="164" fontId="4" fillId="3" borderId="1" applyAlignment="1" pivotButton="0" quotePrefix="0" xfId="0">
      <alignment horizontal="right" vertical="center"/>
    </xf>
    <xf numFmtId="165" fontId="4" fillId="3" borderId="1" applyAlignment="1" pivotButton="0" quotePrefix="0" xfId="0">
      <alignment horizontal="right" vertical="center"/>
    </xf>
    <xf numFmtId="166" fontId="4" fillId="3" borderId="1" applyAlignment="1" pivotButton="0" quotePrefix="0" xfId="0">
      <alignment horizontal="right" vertical="center"/>
    </xf>
    <xf numFmtId="3" fontId="4" fillId="3" borderId="1" applyAlignment="1" pivotButton="0" quotePrefix="0" xfId="0">
      <alignment horizontal="right" vertical="center"/>
    </xf>
    <xf numFmtId="0" fontId="4" fillId="4" borderId="1" applyAlignment="1" pivotButton="0" quotePrefix="0" xfId="0">
      <alignment horizontal="left" vertical="center"/>
    </xf>
    <xf numFmtId="0" fontId="4" fillId="4" borderId="1" applyAlignment="1" pivotButton="0" quotePrefix="0" xfId="0">
      <alignment horizontal="left" vertical="top" wrapText="1"/>
    </xf>
    <xf numFmtId="164" fontId="4" fillId="4" borderId="1" applyAlignment="1" pivotButton="0" quotePrefix="0" xfId="0">
      <alignment horizontal="right" vertical="center"/>
    </xf>
    <xf numFmtId="165" fontId="4" fillId="4" borderId="1" applyAlignment="1" pivotButton="0" quotePrefix="0" xfId="0">
      <alignment horizontal="right" vertical="center"/>
    </xf>
    <xf numFmtId="166" fontId="4" fillId="4" borderId="1" applyAlignment="1" pivotButton="0" quotePrefix="0" xfId="0">
      <alignment horizontal="right" vertical="center"/>
    </xf>
    <xf numFmtId="3" fontId="4" fillId="4" borderId="1" applyAlignment="1" pivotButton="0" quotePrefix="0" xfId="0">
      <alignment horizontal="right" vertical="center"/>
    </xf>
    <xf numFmtId="0" fontId="5" fillId="5" borderId="1" pivotButton="0" quotePrefix="0" xfId="0"/>
    <xf numFmtId="164" fontId="5" fillId="5" borderId="1" applyAlignment="1" pivotButton="0" quotePrefix="0" xfId="0">
      <alignment horizontal="right" vertical="center"/>
    </xf>
    <xf numFmtId="165" fontId="5" fillId="5" borderId="1" applyAlignment="1" pivotButton="0" quotePrefix="0" xfId="0">
      <alignment horizontal="right" vertical="center"/>
    </xf>
    <xf numFmtId="166" fontId="5" fillId="5" borderId="1" applyAlignment="1" pivotButton="0" quotePrefix="0" xfId="0">
      <alignment horizontal="right" vertical="center"/>
    </xf>
    <xf numFmtId="0" fontId="6" fillId="0" borderId="0" pivotButton="0" quotePrefix="0" xfId="0"/>
    <xf numFmtId="0" fontId="4" fillId="0" borderId="0" pivotButton="0" quotePrefix="0" xfId="0"/>
    <xf numFmtId="3" fontId="7" fillId="6" borderId="1" pivotButton="0" quotePrefix="0" xfId="0"/>
    <xf numFmtId="167" fontId="7" fillId="6" borderId="1" pivotButton="0" quotePrefix="0" xfId="0"/>
    <xf numFmtId="0" fontId="8" fillId="0" borderId="0" pivotButton="0" quotePrefix="0" xfId="0"/>
    <xf numFmtId="3" fontId="5" fillId="5"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
  <sheetViews>
    <sheetView showGridLines="0" workbookViewId="0">
      <pane ySplit="4" topLeftCell="A5" activePane="bottomLeft" state="frozen"/>
      <selection pane="bottomLeft" activeCell="A1" sqref="A1"/>
    </sheetView>
  </sheetViews>
  <sheetFormatPr baseColWidth="8" defaultRowHeight="15"/>
  <cols>
    <col width="9" customWidth="1" min="1" max="1"/>
    <col width="30" customWidth="1" min="2" max="2"/>
    <col width="14" customWidth="1" min="3" max="3"/>
    <col width="18" customWidth="1" min="4" max="4"/>
    <col width="24" customWidth="1" min="5" max="5"/>
    <col width="60" customWidth="1" min="6" max="6"/>
    <col width="15" customWidth="1" min="7" max="7"/>
    <col width="14" customWidth="1" min="8" max="8"/>
    <col width="14" customWidth="1" min="9" max="9"/>
    <col width="13" customWidth="1" min="10" max="10"/>
    <col width="13" customWidth="1" min="11" max="11"/>
    <col width="15" customWidth="1" min="12" max="12"/>
    <col width="14" customWidth="1" min="13" max="13"/>
    <col width="9" customWidth="1" min="14" max="14"/>
    <col width="13" customWidth="1" min="15" max="15"/>
    <col width="13" customWidth="1" min="16" max="16"/>
    <col width="13" customWidth="1" min="17" max="17"/>
    <col width="12" customWidth="1" min="18" max="18"/>
    <col width="13" customWidth="1" min="19" max="19"/>
    <col width="13" customWidth="1" min="20" max="20"/>
    <col width="13" customWidth="1" min="21" max="21"/>
  </cols>
  <sheetData>
    <row r="1" ht="26" customHeight="1">
      <c r="A1" s="1" t="inlineStr">
        <is>
          <t>Industry Universe — MELI | Technology</t>
        </is>
      </c>
    </row>
    <row r="2" ht="16" customHeight="1">
      <c r="A2" s="2" t="inlineStr">
        <is>
          <t>Fecha: 22/03/2026  |  Fuente: Yahoo Finance (TTM)  |  23 empresas  |  DealDesk</t>
        </is>
      </c>
    </row>
    <row r="3" ht="6" customHeight="1"/>
    <row r="4" ht="30" customHeight="1">
      <c r="A4" s="3" t="inlineStr">
        <is>
          <t>Ticker</t>
        </is>
      </c>
      <c r="B4" s="3" t="inlineStr">
        <is>
          <t>Empresa</t>
        </is>
      </c>
      <c r="C4" s="3" t="inlineStr">
        <is>
          <t>País</t>
        </is>
      </c>
      <c r="D4" s="3" t="inlineStr">
        <is>
          <t>Sector</t>
        </is>
      </c>
      <c r="E4" s="3" t="inlineStr">
        <is>
          <t>Industria</t>
        </is>
      </c>
      <c r="F4" s="3" t="inlineStr">
        <is>
          <t>Descripción</t>
        </is>
      </c>
      <c r="G4" s="3" t="inlineStr">
        <is>
          <t>Revenue ($mm)</t>
        </is>
      </c>
      <c r="H4" s="3" t="inlineStr">
        <is>
          <t>EBITDA ($mm)</t>
        </is>
      </c>
      <c r="I4" s="3" t="inlineStr">
        <is>
          <t>Net Inc ($mm)</t>
        </is>
      </c>
      <c r="J4" s="3" t="inlineStr">
        <is>
          <t>Deuda ($mm)</t>
        </is>
      </c>
      <c r="K4" s="3" t="inlineStr">
        <is>
          <t>Cash ($mm)</t>
        </is>
      </c>
      <c r="L4" s="3" t="inlineStr">
        <is>
          <t>Mkt Cap ($mm)</t>
        </is>
      </c>
      <c r="M4" s="3" t="inlineStr">
        <is>
          <t>EV ($mm)</t>
        </is>
      </c>
      <c r="N4" s="3" t="inlineStr">
        <is>
          <t>P/E</t>
        </is>
      </c>
      <c r="O4" s="3" t="inlineStr">
        <is>
          <t>Rev Growth %</t>
        </is>
      </c>
      <c r="P4" s="3" t="inlineStr">
        <is>
          <t>Empleados</t>
        </is>
      </c>
      <c r="Q4" s="3" t="inlineStr">
        <is>
          <t>EBITDA Mg%</t>
        </is>
      </c>
      <c r="R4" s="3" t="inlineStr">
        <is>
          <t>Net Mg%</t>
        </is>
      </c>
      <c r="S4" s="3" t="inlineStr">
        <is>
          <t>Gross Mg%</t>
        </is>
      </c>
      <c r="T4" s="3" t="inlineStr">
        <is>
          <t>EV/Revenue</t>
        </is>
      </c>
      <c r="U4" s="3" t="inlineStr">
        <is>
          <t>EV/EBITDA</t>
        </is>
      </c>
    </row>
    <row r="5" ht="32" customHeight="1">
      <c r="A5" s="4" t="inlineStr">
        <is>
          <t>AMZN</t>
        </is>
      </c>
      <c r="B5" s="4" t="inlineStr">
        <is>
          <t>Amazon.com, Inc.</t>
        </is>
      </c>
      <c r="C5" s="4" t="inlineStr">
        <is>
          <t>United States</t>
        </is>
      </c>
      <c r="D5" s="4" t="inlineStr">
        <is>
          <t>Consumer Cyclical</t>
        </is>
      </c>
      <c r="E5" s="4" t="inlineStr">
        <is>
          <t>Internet Retail</t>
        </is>
      </c>
      <c r="F5" s="5" t="inlineStr">
        <is>
          <t>Amazon.com, Inc. engages in the retail sale of consumer products, advertising, and subscriptions service through online and physical stores in North America and internationally. The company operates through three segments: North America, International, and Amazon Web Services (AWS).</t>
        </is>
      </c>
      <c r="G5" s="6" t="n">
        <v>716924</v>
      </c>
      <c r="H5" s="6" t="n">
        <v>165341</v>
      </c>
      <c r="I5" s="6" t="n">
        <v>77670</v>
      </c>
      <c r="J5" s="6" t="n">
        <v>178547</v>
      </c>
      <c r="K5" s="6" t="n">
        <v>123029</v>
      </c>
      <c r="L5" s="6" t="n">
        <v>2204630.5</v>
      </c>
      <c r="M5" s="6" t="n">
        <v>2260148.7</v>
      </c>
      <c r="N5" s="7" t="n">
        <v>28.6</v>
      </c>
      <c r="O5" s="8" t="n">
        <v>13.6</v>
      </c>
      <c r="P5" s="9" t="n">
        <v>1576000</v>
      </c>
      <c r="Q5" s="8" t="n">
        <v>23.1</v>
      </c>
      <c r="R5" s="8" t="n">
        <v>10.8</v>
      </c>
      <c r="S5" s="8" t="n">
        <v>50.3</v>
      </c>
      <c r="T5" s="7" t="n">
        <v>3.2</v>
      </c>
      <c r="U5" s="7" t="n">
        <v>13.7</v>
      </c>
    </row>
    <row r="6" ht="32" customHeight="1">
      <c r="A6" s="10" t="inlineStr">
        <is>
          <t>JD</t>
        </is>
      </c>
      <c r="B6" s="10" t="inlineStr">
        <is>
          <t>JD.com, Inc.</t>
        </is>
      </c>
      <c r="C6" s="10" t="inlineStr">
        <is>
          <t>China</t>
        </is>
      </c>
      <c r="D6" s="10" t="inlineStr">
        <is>
          <t>Consumer Cyclical</t>
        </is>
      </c>
      <c r="E6" s="10" t="inlineStr">
        <is>
          <t>Internet Retail</t>
        </is>
      </c>
      <c r="F6" s="11" t="inlineStr">
        <is>
          <t>JD.com, Inc. operates as a supply chain-based technology and service provider in the People's Republic of China and Europe. It operates through three segments: JD Retail, JD Logistics, and New Businesses.</t>
        </is>
      </c>
      <c r="G6" s="12" t="n">
        <v>189360.8</v>
      </c>
      <c r="H6" s="12" t="n">
        <v>6029.6</v>
      </c>
      <c r="I6" s="12" t="n">
        <v>19631</v>
      </c>
      <c r="J6" s="12" t="n">
        <v>107105</v>
      </c>
      <c r="K6" s="12" t="n">
        <v>213232</v>
      </c>
      <c r="L6" s="12" t="n">
        <v>39451.4</v>
      </c>
      <c r="M6" s="12" t="n">
        <v>39272</v>
      </c>
      <c r="N6" s="13" t="n">
        <v>14.6</v>
      </c>
      <c r="O6" s="14" t="n">
        <v>1.5</v>
      </c>
      <c r="P6" s="15" t="n">
        <v>900000</v>
      </c>
      <c r="Q6" s="14" t="n">
        <v>3.2</v>
      </c>
      <c r="R6" s="14" t="n">
        <v>10.4</v>
      </c>
      <c r="S6" s="14" t="n">
        <v>64.3</v>
      </c>
      <c r="T6" s="13" t="n">
        <v>0.2</v>
      </c>
      <c r="U6" s="13" t="n">
        <v>6.5</v>
      </c>
    </row>
    <row r="7" ht="32" customHeight="1">
      <c r="A7" s="4" t="inlineStr">
        <is>
          <t>BABA</t>
        </is>
      </c>
      <c r="B7" s="4" t="inlineStr">
        <is>
          <t>Alibaba Group Holding Limited</t>
        </is>
      </c>
      <c r="C7" s="4" t="inlineStr">
        <is>
          <t>Hong Kong</t>
        </is>
      </c>
      <c r="D7" s="4" t="inlineStr">
        <is>
          <t>Consumer Cyclical</t>
        </is>
      </c>
      <c r="E7" s="4" t="inlineStr">
        <is>
          <t>Internet Retail</t>
        </is>
      </c>
      <c r="F7" s="5" t="inlineStr">
        <is>
          <t>Alibaba Group Holding Limited, through its subsidiaries, provides technology infrastructure and marketing reach to help merchants, brands, retailers, and other businesses to engage with their users and customers in the People's Republic of China and internationally.</t>
        </is>
      </c>
      <c r="G7" s="6" t="n">
        <v>147671</v>
      </c>
      <c r="H7" s="6" t="n">
        <v>18860.5</v>
      </c>
      <c r="I7" s="6" t="n">
        <v>92810</v>
      </c>
      <c r="J7" s="6" t="n">
        <v>286529</v>
      </c>
      <c r="K7" s="6" t="n">
        <v>338110</v>
      </c>
      <c r="L7" s="6" t="n">
        <v>292243.2</v>
      </c>
      <c r="M7" s="6" t="n">
        <v>2287600.9</v>
      </c>
      <c r="N7" s="7" t="n">
        <v>21.7</v>
      </c>
      <c r="O7" s="8" t="n">
        <v>1.7</v>
      </c>
      <c r="P7" s="9" t="n">
        <v>128197</v>
      </c>
      <c r="Q7" s="8" t="n">
        <v>12.8</v>
      </c>
      <c r="R7" s="8" t="n">
        <v>62.8</v>
      </c>
      <c r="S7" s="8" t="n">
        <v>280.6</v>
      </c>
      <c r="T7" s="7" t="n">
        <v>15.5</v>
      </c>
      <c r="U7" s="7" t="n">
        <v>121.3</v>
      </c>
    </row>
    <row r="8" ht="32" customHeight="1">
      <c r="A8" s="10" t="inlineStr">
        <is>
          <t>PDD</t>
        </is>
      </c>
      <c r="B8" s="10" t="inlineStr">
        <is>
          <t>PDD Holdings Inc.</t>
        </is>
      </c>
      <c r="C8" s="10" t="inlineStr">
        <is>
          <t>Ireland</t>
        </is>
      </c>
      <c r="D8" s="10" t="inlineStr">
        <is>
          <t>Consumer Cyclical</t>
        </is>
      </c>
      <c r="E8" s="10" t="inlineStr">
        <is>
          <t>Internet Retail</t>
        </is>
      </c>
      <c r="F8" s="11" t="inlineStr">
        <is>
          <t>PDD Holdings Inc., a multinational commerce group that owns and operates a portfolio of businesses. It operates Pinduoduo platform which provides various product categories, including agricultural produce, apparel, shoes, bags, mother and childcare products, food and beverages, consumer…</t>
        </is>
      </c>
      <c r="G8" s="12" t="n">
        <v>60788.9</v>
      </c>
      <c r="H8" s="12" t="n">
        <v>14424.7</v>
      </c>
      <c r="I8" s="12" t="n">
        <v>102270.1</v>
      </c>
      <c r="J8" s="12" t="n">
        <v>10673.6</v>
      </c>
      <c r="K8" s="12" t="n">
        <v>423769.3</v>
      </c>
      <c r="L8" s="12" t="n">
        <v>136562.9</v>
      </c>
      <c r="M8" s="12" t="n">
        <v>125301.3</v>
      </c>
      <c r="N8" s="13" t="n">
        <v>9.6</v>
      </c>
      <c r="O8" s="14" t="n">
        <v>9</v>
      </c>
      <c r="P8" s="15" t="n">
        <v>23465</v>
      </c>
      <c r="Q8" s="14" t="n">
        <v>23.7</v>
      </c>
      <c r="R8" s="14" t="n">
        <v>168.2</v>
      </c>
      <c r="S8" s="14" t="n">
        <v>390</v>
      </c>
      <c r="T8" s="13" t="n">
        <v>2.1</v>
      </c>
      <c r="U8" s="13" t="n">
        <v>8.699999999999999</v>
      </c>
    </row>
    <row r="9" ht="32" customHeight="1">
      <c r="A9" s="4" t="inlineStr">
        <is>
          <t>MPNGY</t>
        </is>
      </c>
      <c r="B9" s="4" t="inlineStr">
        <is>
          <t>MEITUAN</t>
        </is>
      </c>
      <c r="C9" s="4" t="inlineStr">
        <is>
          <t>China</t>
        </is>
      </c>
      <c r="D9" s="4" t="inlineStr">
        <is>
          <t>Consumer Cyclical</t>
        </is>
      </c>
      <c r="E9" s="4" t="inlineStr">
        <is>
          <t>Internet Retail</t>
        </is>
      </c>
      <c r="F9" s="5" t="inlineStr">
        <is>
          <t>Meituan operates as a technology driven retail company in the People's Republic of China, Hong Kong, Macao, Taiwan, and internationally. It operates through Core Local Commerce and New Initiatives segments.</t>
        </is>
      </c>
      <c r="G9" s="6" t="n">
        <v>52630.7</v>
      </c>
      <c r="H9" s="6" t="n">
        <v>516.4</v>
      </c>
      <c r="I9" s="6" t="n">
        <v>-1988.8</v>
      </c>
      <c r="J9" s="6" t="n">
        <v>51265.9</v>
      </c>
      <c r="K9" s="6" t="n">
        <v>141287.8</v>
      </c>
      <c r="L9" s="6" t="n">
        <v>61848.3</v>
      </c>
      <c r="M9" s="6" t="n">
        <v>29329.8</v>
      </c>
      <c r="N9" s="7" t="n">
        <v>14.5</v>
      </c>
      <c r="O9" s="8" t="n">
        <v>2</v>
      </c>
      <c r="P9" s="9" t="n">
        <v>108900</v>
      </c>
      <c r="Q9" s="8" t="n">
        <v>1</v>
      </c>
      <c r="R9" s="8" t="n">
        <v>-3.8</v>
      </c>
      <c r="S9" s="8" t="n">
        <v>230.8</v>
      </c>
      <c r="T9" s="7" t="n">
        <v>0.6</v>
      </c>
      <c r="U9" s="7" t="n">
        <v>56.8</v>
      </c>
    </row>
    <row r="10" ht="32" customHeight="1">
      <c r="A10" s="10" t="inlineStr">
        <is>
          <t>CPNG</t>
        </is>
      </c>
      <c r="B10" s="10" t="inlineStr">
        <is>
          <t>Coupang, Inc.</t>
        </is>
      </c>
      <c r="C10" s="10" t="inlineStr">
        <is>
          <t>United States</t>
        </is>
      </c>
      <c r="D10" s="10" t="inlineStr">
        <is>
          <t>Consumer Cyclical</t>
        </is>
      </c>
      <c r="E10" s="10" t="inlineStr">
        <is>
          <t>Internet Retail</t>
        </is>
      </c>
      <c r="F10" s="11" t="inlineStr">
        <is>
          <t>Coupang, Inc., together with its subsidiaries, owns and operates retail business through its mobile applications and internet websites in South Korea and internationally. It operates through Product Commerce and Developing Offerings segments.</t>
        </is>
      </c>
      <c r="G10" s="12" t="n">
        <v>34534</v>
      </c>
      <c r="H10" s="12" t="n">
        <v>1200</v>
      </c>
      <c r="I10" s="12" t="n">
        <v>208</v>
      </c>
      <c r="J10" s="12" t="n">
        <v>4635</v>
      </c>
      <c r="K10" s="12" t="n">
        <v>6318</v>
      </c>
      <c r="L10" s="12" t="n">
        <v>34424.8</v>
      </c>
      <c r="M10" s="12" t="n">
        <v>32741.8</v>
      </c>
      <c r="N10" s="13" t="n">
        <v>171.2</v>
      </c>
      <c r="O10" s="14" t="n">
        <v>10.9</v>
      </c>
      <c r="P10" s="15" t="n">
        <v>108000</v>
      </c>
      <c r="Q10" s="14" t="n">
        <v>3.5</v>
      </c>
      <c r="R10" s="14" t="n">
        <v>0.6</v>
      </c>
      <c r="S10" s="14" t="n">
        <v>29.4</v>
      </c>
      <c r="T10" s="13" t="n">
        <v>0.9</v>
      </c>
      <c r="U10" s="13" t="n">
        <v>27.3</v>
      </c>
    </row>
    <row r="11" ht="32" customHeight="1">
      <c r="A11" s="4" t="inlineStr">
        <is>
          <t>SE</t>
        </is>
      </c>
      <c r="B11" s="4" t="inlineStr">
        <is>
          <t>Sea Limited</t>
        </is>
      </c>
      <c r="C11" s="4" t="inlineStr">
        <is>
          <t>Singapore</t>
        </is>
      </c>
      <c r="D11" s="4" t="inlineStr">
        <is>
          <t>Consumer Cyclical</t>
        </is>
      </c>
      <c r="E11" s="4" t="inlineStr">
        <is>
          <t>Internet Retail</t>
        </is>
      </c>
      <c r="F11" s="5" t="inlineStr">
        <is>
          <t>Sea Limited, through its subsidiaries, operates as a consumer internet company in Southeast Asia, Latin America, the rest of Asia, and internationally. The company operates through E-commerce, Digital financial services, and Digital entertainment segments.</t>
        </is>
      </c>
      <c r="G11" s="6" t="n">
        <v>21037</v>
      </c>
      <c r="H11" s="6" t="n">
        <v>1953.9</v>
      </c>
      <c r="I11" s="6" t="n">
        <v>1578.1</v>
      </c>
      <c r="J11" s="6" t="n">
        <v>3330.4</v>
      </c>
      <c r="K11" s="6" t="n">
        <v>10572.2</v>
      </c>
      <c r="L11" s="6" t="n">
        <v>46680.8</v>
      </c>
      <c r="M11" s="6" t="n">
        <v>40366.7</v>
      </c>
      <c r="N11" s="7" t="n">
        <v>31.3</v>
      </c>
      <c r="O11" s="8" t="n">
        <v>38.4</v>
      </c>
      <c r="P11" s="9" t="n">
        <v/>
      </c>
      <c r="Q11" s="8" t="n">
        <v>9.300000000000001</v>
      </c>
      <c r="R11" s="8" t="n">
        <v>7.5</v>
      </c>
      <c r="S11" s="8" t="n">
        <v>48.7</v>
      </c>
      <c r="T11" s="7" t="n">
        <v>1.9</v>
      </c>
      <c r="U11" s="7" t="n">
        <v>20.7</v>
      </c>
    </row>
    <row r="12" ht="32" customHeight="1">
      <c r="A12" s="10" t="inlineStr">
        <is>
          <t>DLVHF</t>
        </is>
      </c>
      <c r="B12" s="10" t="inlineStr">
        <is>
          <t>Delivery Hero AG NA</t>
        </is>
      </c>
      <c r="C12" s="10" t="inlineStr">
        <is>
          <t>Germany</t>
        </is>
      </c>
      <c r="D12" s="10" t="inlineStr">
        <is>
          <t>Consumer Cyclical</t>
        </is>
      </c>
      <c r="E12" s="10" t="inlineStr">
        <is>
          <t>Internet Retail</t>
        </is>
      </c>
      <c r="F12" s="11" t="inlineStr">
        <is>
          <t>Delivery Hero SE provides online food ordering, quick commerce, and delivery services. The company also offers advertising services. It operates in approximately 70 countries across Asia, the Middle East, Africa, Europe, and Latin America.</t>
        </is>
      </c>
      <c r="G12" s="12" t="n">
        <v>15473.8</v>
      </c>
      <c r="H12" s="12" t="n">
        <v>429.6</v>
      </c>
      <c r="I12" s="12" t="n">
        <v>-560.5</v>
      </c>
      <c r="J12" s="12" t="n">
        <v>4635.7</v>
      </c>
      <c r="K12" s="12" t="n">
        <v>2808.1</v>
      </c>
      <c r="L12" s="12" t="n">
        <v>5852.3</v>
      </c>
      <c r="M12" s="12" t="n">
        <v>7138.3</v>
      </c>
      <c r="N12" s="13" t="n">
        <v/>
      </c>
      <c r="O12" s="14" t="n">
        <v>19.2</v>
      </c>
      <c r="P12" s="15" t="n">
        <v>43986</v>
      </c>
      <c r="Q12" s="14" t="n">
        <v>2.8</v>
      </c>
      <c r="R12" s="14" t="n">
        <v>-3.6</v>
      </c>
      <c r="S12" s="14" t="n">
        <v>22.1</v>
      </c>
      <c r="T12" s="13" t="n">
        <v>0.5</v>
      </c>
      <c r="U12" s="13" t="n">
        <v>16.6</v>
      </c>
    </row>
    <row r="13" ht="32" customHeight="1">
      <c r="A13" s="4" t="inlineStr">
        <is>
          <t>ZLNDY</t>
        </is>
      </c>
      <c r="B13" s="4" t="inlineStr">
        <is>
          <t>ZALANDO SE</t>
        </is>
      </c>
      <c r="C13" s="4" t="inlineStr">
        <is>
          <t>Germany</t>
        </is>
      </c>
      <c r="D13" s="4" t="inlineStr">
        <is>
          <t>Consumer Cyclical</t>
        </is>
      </c>
      <c r="E13" s="4" t="inlineStr">
        <is>
          <t>Internet Retail</t>
        </is>
      </c>
      <c r="F13" s="5" t="inlineStr">
        <is>
          <t>Zalando SE operates an online platform for fashion and lifestyle products in Germany and internationally. The company operates through Business-to-Business and Business-to-Consumer segments.</t>
        </is>
      </c>
      <c r="G13" s="6" t="n">
        <v>14253.4</v>
      </c>
      <c r="H13" s="6" t="n">
        <v>965.4</v>
      </c>
      <c r="I13" s="6" t="n">
        <v>212.7</v>
      </c>
      <c r="J13" s="6" t="n">
        <v>1441.6</v>
      </c>
      <c r="K13" s="6" t="n">
        <v>1877.4</v>
      </c>
      <c r="L13" s="6" t="n">
        <v>6426</v>
      </c>
      <c r="M13" s="6" t="n">
        <v>2803.6</v>
      </c>
      <c r="N13" s="7" t="n">
        <v>26.5</v>
      </c>
      <c r="O13" s="8" t="n">
        <v>23.4</v>
      </c>
      <c r="P13" s="9" t="n">
        <v>16582</v>
      </c>
      <c r="Q13" s="8" t="n">
        <v>6.8</v>
      </c>
      <c r="R13" s="8" t="n">
        <v>1.5</v>
      </c>
      <c r="S13" s="8" t="n">
        <v>34.5</v>
      </c>
      <c r="T13" s="7" t="n">
        <v>0.2</v>
      </c>
      <c r="U13" s="7" t="n">
        <v>2.9</v>
      </c>
    </row>
    <row r="14" ht="32" customHeight="1">
      <c r="A14" s="10" t="inlineStr">
        <is>
          <t>DASH</t>
        </is>
      </c>
      <c r="B14" s="10" t="inlineStr">
        <is>
          <t>DoorDash, Inc.</t>
        </is>
      </c>
      <c r="C14" s="10" t="inlineStr">
        <is>
          <t>United States</t>
        </is>
      </c>
      <c r="D14" s="10" t="inlineStr">
        <is>
          <t>Consumer Cyclical</t>
        </is>
      </c>
      <c r="E14" s="10" t="inlineStr">
        <is>
          <t>Internet Retail</t>
        </is>
      </c>
      <c r="F14" s="11" t="inlineStr">
        <is>
          <t>DoorDash, Inc., together with its subsidiaries, operates a commerce platform that connects merchants, consumers, and dashers in the United States and internationally.</t>
        </is>
      </c>
      <c r="G14" s="12" t="n">
        <v>13717</v>
      </c>
      <c r="H14" s="12" t="n">
        <v>1472</v>
      </c>
      <c r="I14" s="12" t="n">
        <v>935</v>
      </c>
      <c r="J14" s="12" t="n">
        <v>3290</v>
      </c>
      <c r="K14" s="12" t="n">
        <v>5506</v>
      </c>
      <c r="L14" s="12" t="n">
        <v>68048.5</v>
      </c>
      <c r="M14" s="12" t="n">
        <v>65845.5</v>
      </c>
      <c r="N14" s="13" t="n">
        <v>73.5</v>
      </c>
      <c r="O14" s="14" t="n">
        <v>37.7</v>
      </c>
      <c r="P14" s="15" t="n">
        <v>31400</v>
      </c>
      <c r="Q14" s="14" t="n">
        <v>10.7</v>
      </c>
      <c r="R14" s="14" t="n">
        <v>6.8</v>
      </c>
      <c r="S14" s="14" t="n">
        <v>51.8</v>
      </c>
      <c r="T14" s="13" t="n">
        <v>4.8</v>
      </c>
      <c r="U14" s="13" t="n">
        <v>44.7</v>
      </c>
    </row>
    <row r="15" ht="32" customHeight="1">
      <c r="A15" s="4" t="inlineStr">
        <is>
          <t>CHWY</t>
        </is>
      </c>
      <c r="B15" s="4" t="inlineStr">
        <is>
          <t>Chewy, Inc.</t>
        </is>
      </c>
      <c r="C15" s="4" t="inlineStr">
        <is>
          <t>United States</t>
        </is>
      </c>
      <c r="D15" s="4" t="inlineStr">
        <is>
          <t>Consumer Cyclical</t>
        </is>
      </c>
      <c r="E15" s="4" t="inlineStr">
        <is>
          <t>Internet Retail</t>
        </is>
      </c>
      <c r="F15" s="5" t="inlineStr">
        <is>
          <t>Chewy, Inc., together with its subsidiaries, engages in the e-commerce business in the United States. It offers pet food and treats, pet supplies and pet medications, and other pet-health products, as well as pet services.</t>
        </is>
      </c>
      <c r="G15" s="6" t="n">
        <v>12584.2</v>
      </c>
      <c r="H15" s="6" t="n">
        <v>347.9</v>
      </c>
      <c r="I15" s="6" t="n">
        <v>206.4</v>
      </c>
      <c r="J15" s="6" t="n">
        <v>558.9</v>
      </c>
      <c r="K15" s="6" t="n">
        <v>701.5</v>
      </c>
      <c r="L15" s="6" t="n">
        <v>9698.5</v>
      </c>
      <c r="M15" s="6" t="n">
        <v>9555.9</v>
      </c>
      <c r="N15" s="7" t="n">
        <v>47.7</v>
      </c>
      <c r="O15" s="8" t="n">
        <v>8.300000000000001</v>
      </c>
      <c r="P15" s="9" t="n">
        <v>18000</v>
      </c>
      <c r="Q15" s="8" t="n">
        <v>2.8</v>
      </c>
      <c r="R15" s="8" t="n">
        <v>1.6</v>
      </c>
      <c r="S15" s="8" t="n">
        <v>29.6</v>
      </c>
      <c r="T15" s="7" t="n">
        <v>0.8</v>
      </c>
      <c r="U15" s="7" t="n">
        <v>27.5</v>
      </c>
    </row>
    <row r="16" ht="32" customHeight="1">
      <c r="A16" s="10" t="inlineStr">
        <is>
          <t>W</t>
        </is>
      </c>
      <c r="B16" s="10" t="inlineStr">
        <is>
          <t>Wayfair Inc.</t>
        </is>
      </c>
      <c r="C16" s="10" t="inlineStr">
        <is>
          <t>United States</t>
        </is>
      </c>
      <c r="D16" s="10" t="inlineStr">
        <is>
          <t>Consumer Cyclical</t>
        </is>
      </c>
      <c r="E16" s="10" t="inlineStr">
        <is>
          <t>Internet Retail</t>
        </is>
      </c>
      <c r="F16" s="11" t="inlineStr">
        <is>
          <t>Wayfair Inc. engages in the e-commerce business in the United States and internationally. It provides online selections of furniture, décor, housewares, and home improvement products through its sites comprising Wayfair, Joss &amp; Main, AllModern, Birch Lane, Perigold, and Wayfair Professional.</t>
        </is>
      </c>
      <c r="G16" s="12" t="n">
        <v>12457</v>
      </c>
      <c r="H16" s="12" t="n">
        <v>120</v>
      </c>
      <c r="I16" s="12" t="n">
        <v>-313</v>
      </c>
      <c r="J16" s="12" t="n">
        <v>4297</v>
      </c>
      <c r="K16" s="12" t="n">
        <v>1542</v>
      </c>
      <c r="L16" s="12" t="n">
        <v>9459.6</v>
      </c>
      <c r="M16" s="12" t="n">
        <v>12214.6</v>
      </c>
      <c r="N16" s="13" t="n">
        <v/>
      </c>
      <c r="O16" s="14" t="n">
        <v>6.9</v>
      </c>
      <c r="P16" s="15" t="n">
        <v>11800</v>
      </c>
      <c r="Q16" s="14" t="n">
        <v>1</v>
      </c>
      <c r="R16" s="14" t="n">
        <v>-2.5</v>
      </c>
      <c r="S16" s="14" t="n">
        <v>30.2</v>
      </c>
      <c r="T16" s="13" t="n">
        <v>1</v>
      </c>
      <c r="U16" s="13" t="n">
        <v>101.8</v>
      </c>
    </row>
    <row r="17" ht="32" customHeight="1">
      <c r="A17" s="4" t="inlineStr">
        <is>
          <t>EBAY</t>
        </is>
      </c>
      <c r="B17" s="4" t="inlineStr">
        <is>
          <t>eBay Inc.</t>
        </is>
      </c>
      <c r="C17" s="4" t="inlineStr">
        <is>
          <t>United States</t>
        </is>
      </c>
      <c r="D17" s="4" t="inlineStr">
        <is>
          <t>Consumer Cyclical</t>
        </is>
      </c>
      <c r="E17" s="4" t="inlineStr">
        <is>
          <t>Internet Retail</t>
        </is>
      </c>
      <c r="F17" s="5" t="inlineStr">
        <is>
          <t>eBay Inc., together with its subsidiaries, operates marketplace platforms that connect buyers and sellers in the United States, the United Kingdom, China, Germany, and internationally.</t>
        </is>
      </c>
      <c r="G17" s="6" t="n">
        <v>11100</v>
      </c>
      <c r="H17" s="6" t="n">
        <v>2960</v>
      </c>
      <c r="I17" s="6" t="n">
        <v>1996</v>
      </c>
      <c r="J17" s="6" t="n">
        <v>7182</v>
      </c>
      <c r="K17" s="6" t="n">
        <v>2919</v>
      </c>
      <c r="L17" s="6" t="n">
        <v>40219</v>
      </c>
      <c r="M17" s="6" t="n">
        <v>44126</v>
      </c>
      <c r="N17" s="7" t="n">
        <v>20.9</v>
      </c>
      <c r="O17" s="8" t="n">
        <v>15</v>
      </c>
      <c r="P17" s="9" t="n">
        <v>12300</v>
      </c>
      <c r="Q17" s="8" t="n">
        <v>26.7</v>
      </c>
      <c r="R17" s="8" t="n">
        <v>18</v>
      </c>
      <c r="S17" s="8" t="n">
        <v>71.5</v>
      </c>
      <c r="T17" s="7" t="n">
        <v>4</v>
      </c>
      <c r="U17" s="7" t="n">
        <v>14.9</v>
      </c>
    </row>
    <row r="18" ht="32" customHeight="1">
      <c r="A18" s="10" t="inlineStr">
        <is>
          <t>NPN.JO</t>
        </is>
      </c>
      <c r="B18" s="10" t="inlineStr">
        <is>
          <t>Naspers Ltd -N-</t>
        </is>
      </c>
      <c r="C18" s="10" t="inlineStr">
        <is>
          <t>South Africa</t>
        </is>
      </c>
      <c r="D18" s="10" t="inlineStr">
        <is>
          <t>Consumer Cyclical</t>
        </is>
      </c>
      <c r="E18" s="10" t="inlineStr">
        <is>
          <t>Internet Retail</t>
        </is>
      </c>
      <c r="F18" s="11" t="inlineStr">
        <is>
          <t>Naspers Limited operates as a consumer internet company in Africa, Asia, Europe, and internationally. The company operates internet platforms, such as classifieds, an online classifieds platform; Payments and Fintech, a mobile and online payment platform; Food Delivery, an online food ordering and…</t>
        </is>
      </c>
      <c r="G18" s="12" t="n">
        <v>7855</v>
      </c>
      <c r="H18" s="12" t="n">
        <v>382</v>
      </c>
      <c r="I18" s="12" t="n">
        <v>5747</v>
      </c>
      <c r="J18" s="12" t="n">
        <v>18169</v>
      </c>
      <c r="K18" s="12" t="n">
        <v>22343</v>
      </c>
      <c r="L18" s="12" t="n">
        <v>682551.9</v>
      </c>
      <c r="M18" s="12" t="n">
        <v>733601.8</v>
      </c>
      <c r="N18" s="13" t="n">
        <v>7.9</v>
      </c>
      <c r="O18" s="14" t="n">
        <v>19.6</v>
      </c>
      <c r="P18" s="15" t="n">
        <v>27010</v>
      </c>
      <c r="Q18" s="14" t="n">
        <v>4.9</v>
      </c>
      <c r="R18" s="14" t="n">
        <v>73.2</v>
      </c>
      <c r="S18" s="14" t="n">
        <v>42.8</v>
      </c>
      <c r="T18" s="13" t="n">
        <v>93.40000000000001</v>
      </c>
      <c r="U18" s="13" t="n">
        <v>1920.4</v>
      </c>
    </row>
    <row r="19" ht="32" customHeight="1">
      <c r="A19" s="4" t="inlineStr">
        <is>
          <t>CART</t>
        </is>
      </c>
      <c r="B19" s="4" t="inlineStr">
        <is>
          <t>Maplebear Inc.</t>
        </is>
      </c>
      <c r="C19" s="4" t="inlineStr">
        <is>
          <t>United States</t>
        </is>
      </c>
      <c r="D19" s="4" t="inlineStr">
        <is>
          <t>Consumer Cyclical</t>
        </is>
      </c>
      <c r="E19" s="4" t="inlineStr">
        <is>
          <t>Internet Retail</t>
        </is>
      </c>
      <c r="F19" s="5" t="inlineStr">
        <is>
          <t>Maplebear Inc., doing business as Instacart, operates as a technology and enablement partner for the grocery industry in the United States and internationally.</t>
        </is>
      </c>
      <c r="G19" s="6" t="n">
        <v>3742</v>
      </c>
      <c r="H19" s="6" t="n">
        <v>598</v>
      </c>
      <c r="I19" s="6" t="n">
        <v>438</v>
      </c>
      <c r="J19" s="6" t="n">
        <v>36</v>
      </c>
      <c r="K19" s="6" t="n">
        <v>687</v>
      </c>
      <c r="L19" s="6" t="n">
        <v>9695.299999999999</v>
      </c>
      <c r="M19" s="6" t="n">
        <v>8430.9</v>
      </c>
      <c r="N19" s="7" t="n">
        <v>23.1</v>
      </c>
      <c r="O19" s="8" t="n">
        <v>12.3</v>
      </c>
      <c r="P19" s="9" t="n">
        <v>3600</v>
      </c>
      <c r="Q19" s="8" t="n">
        <v>16</v>
      </c>
      <c r="R19" s="8" t="n">
        <v>11.7</v>
      </c>
      <c r="S19" s="8" t="n">
        <v>73.7</v>
      </c>
      <c r="T19" s="7" t="n">
        <v>2.3</v>
      </c>
      <c r="U19" s="7" t="n">
        <v>14.1</v>
      </c>
    </row>
    <row r="20" ht="32" customHeight="1">
      <c r="A20" s="10" t="inlineStr">
        <is>
          <t>ALE.WA</t>
        </is>
      </c>
      <c r="B20" s="10" t="inlineStr">
        <is>
          <t>ALLEGRO</t>
        </is>
      </c>
      <c r="C20" s="10" t="inlineStr">
        <is>
          <t>Luxembourg</t>
        </is>
      </c>
      <c r="D20" s="10" t="inlineStr">
        <is>
          <t>Consumer Cyclical</t>
        </is>
      </c>
      <c r="E20" s="10" t="inlineStr">
        <is>
          <t>Internet Retail</t>
        </is>
      </c>
      <c r="F20" s="11" t="inlineStr">
        <is>
          <t>Allegro.eu S.A. operates a commerce platform for consumers in Poland, Czech Republic, Slovakia, Hungary, and internationally. It operates through Allegro, Ceneo, Allegro International, and Other segments.</t>
        </is>
      </c>
      <c r="G20" s="12" t="n">
        <v>3092.1</v>
      </c>
      <c r="H20" s="12" t="n">
        <v>929.3</v>
      </c>
      <c r="I20" s="12" t="n">
        <v>1694.1</v>
      </c>
      <c r="J20" s="12" t="n">
        <v>5670.2</v>
      </c>
      <c r="K20" s="12" t="n">
        <v>2840.7</v>
      </c>
      <c r="L20" s="12" t="n">
        <v>26541.2</v>
      </c>
      <c r="M20" s="12" t="n">
        <v>29370.7</v>
      </c>
      <c r="N20" s="13" t="n">
        <v>16.2</v>
      </c>
      <c r="O20" s="14" t="n">
        <v/>
      </c>
      <c r="P20" s="15" t="n">
        <v>5754</v>
      </c>
      <c r="Q20" s="14" t="n">
        <v>30.1</v>
      </c>
      <c r="R20" s="14" t="n">
        <v>54.8</v>
      </c>
      <c r="S20" s="14" t="n">
        <v>125.5</v>
      </c>
      <c r="T20" s="13" t="n">
        <v>9.5</v>
      </c>
      <c r="U20" s="13" t="n">
        <v>31.6</v>
      </c>
    </row>
    <row r="21" ht="32" customHeight="1">
      <c r="A21" s="4" t="inlineStr">
        <is>
          <t>ETSY</t>
        </is>
      </c>
      <c r="B21" s="4" t="inlineStr">
        <is>
          <t>Etsy, Inc.</t>
        </is>
      </c>
      <c r="C21" s="4" t="inlineStr">
        <is>
          <t>United States</t>
        </is>
      </c>
      <c r="D21" s="4" t="inlineStr">
        <is>
          <t>Consumer Cyclical</t>
        </is>
      </c>
      <c r="E21" s="4" t="inlineStr">
        <is>
          <t>Internet Retail</t>
        </is>
      </c>
      <c r="F21" s="5" t="inlineStr">
        <is>
          <t>Etsy, Inc., together with its subsidiaries, operates two-sided online marketplaces that connect buyers and sellers in the United States, the United Kingdom, and internationally. It operates through Etsy and Depop segments.</t>
        </is>
      </c>
      <c r="G21" s="6" t="n">
        <v>2883.5</v>
      </c>
      <c r="H21" s="6" t="n">
        <v>476.3</v>
      </c>
      <c r="I21" s="6" t="n">
        <v>163</v>
      </c>
      <c r="J21" s="6" t="n">
        <v>3115.1</v>
      </c>
      <c r="K21" s="6" t="n">
        <v>1619.9</v>
      </c>
      <c r="L21" s="6" t="n">
        <v>5215.6</v>
      </c>
      <c r="M21" s="6" t="n">
        <v>6580.9</v>
      </c>
      <c r="N21" s="7" t="n">
        <v>38</v>
      </c>
      <c r="O21" s="8" t="n">
        <v>3.5</v>
      </c>
      <c r="P21" s="9" t="n">
        <v>2375</v>
      </c>
      <c r="Q21" s="8" t="n">
        <v>16.5</v>
      </c>
      <c r="R21" s="8" t="n">
        <v>5.7</v>
      </c>
      <c r="S21" s="8" t="n">
        <v>71.59999999999999</v>
      </c>
      <c r="T21" s="7" t="n">
        <v>2.3</v>
      </c>
      <c r="U21" s="7" t="n">
        <v>13.8</v>
      </c>
    </row>
    <row r="22" ht="32" customHeight="1">
      <c r="A22" s="10" t="inlineStr">
        <is>
          <t>NEGG</t>
        </is>
      </c>
      <c r="B22" s="10" t="inlineStr">
        <is>
          <t>Newegg Commerce, Inc.</t>
        </is>
      </c>
      <c r="C22" s="10" t="inlineStr">
        <is>
          <t>United States</t>
        </is>
      </c>
      <c r="D22" s="10" t="inlineStr">
        <is>
          <t>Consumer Cyclical</t>
        </is>
      </c>
      <c r="E22" s="10" t="inlineStr">
        <is>
          <t>Internet Retail</t>
        </is>
      </c>
      <c r="F22" s="11" t="inlineStr">
        <is>
          <t>Newegg Commerce, Inc. operates as an electronics-focused e-retailer in the United States, Canada, and internationally.</t>
        </is>
      </c>
      <c r="G22" s="12" t="n">
        <v>1313.1</v>
      </c>
      <c r="H22" s="12" t="n">
        <v>-19.7</v>
      </c>
      <c r="I22" s="12" t="n">
        <v>-22.6</v>
      </c>
      <c r="J22" s="12" t="n">
        <v>75.5</v>
      </c>
      <c r="K22" s="12" t="n">
        <v>59.1</v>
      </c>
      <c r="L22" s="12" t="n">
        <v>731.3</v>
      </c>
      <c r="M22" s="12" t="n">
        <v>696.5</v>
      </c>
      <c r="N22" s="13" t="n">
        <v/>
      </c>
      <c r="O22" s="14" t="n">
        <v>12.5</v>
      </c>
      <c r="P22" s="15" t="n">
        <v>762</v>
      </c>
      <c r="Q22" s="14" t="n">
        <v>-1.5</v>
      </c>
      <c r="R22" s="14" t="n">
        <v>-1.7</v>
      </c>
      <c r="S22" s="14" t="n">
        <v>11.3</v>
      </c>
      <c r="T22" s="13" t="n">
        <v>0.5</v>
      </c>
      <c r="U22" s="13" t="n"/>
    </row>
    <row r="23" ht="32" customHeight="1">
      <c r="A23" s="4" t="inlineStr">
        <is>
          <t>RVLV</t>
        </is>
      </c>
      <c r="B23" s="4" t="inlineStr">
        <is>
          <t>Revolve Group, Inc.</t>
        </is>
      </c>
      <c r="C23" s="4" t="inlineStr">
        <is>
          <t>United States</t>
        </is>
      </c>
      <c r="D23" s="4" t="inlineStr">
        <is>
          <t>Consumer Cyclical</t>
        </is>
      </c>
      <c r="E23" s="4" t="inlineStr">
        <is>
          <t>Internet Retail</t>
        </is>
      </c>
      <c r="F23" s="5" t="inlineStr">
        <is>
          <t>Revolve Group, Inc. operates as a fashion retailer for millennial and generation z consumers in the United States and internationally. The company operates in two segments, REVOLVE and FWRD.</t>
        </is>
      </c>
      <c r="G23" s="6" t="n">
        <v>1225.7</v>
      </c>
      <c r="H23" s="6" t="n">
        <v>80.7</v>
      </c>
      <c r="I23" s="6" t="n">
        <v>61.7</v>
      </c>
      <c r="J23" s="6" t="n">
        <v>32.5</v>
      </c>
      <c r="K23" s="6" t="n">
        <v>292.3</v>
      </c>
      <c r="L23" s="6" t="n">
        <v>1579.3</v>
      </c>
      <c r="M23" s="6" t="n">
        <v>1319.5</v>
      </c>
      <c r="N23" s="7" t="n">
        <v>25.7</v>
      </c>
      <c r="O23" s="8" t="n">
        <v>10.4</v>
      </c>
      <c r="P23" s="9" t="n">
        <v>1664</v>
      </c>
      <c r="Q23" s="8" t="n">
        <v>6.6</v>
      </c>
      <c r="R23" s="8" t="n">
        <v>5</v>
      </c>
      <c r="S23" s="8" t="n">
        <v>53.5</v>
      </c>
      <c r="T23" s="7" t="n">
        <v>1.1</v>
      </c>
      <c r="U23" s="7" t="n">
        <v>16.4</v>
      </c>
    </row>
    <row r="24" ht="32" customHeight="1">
      <c r="A24" s="10" t="inlineStr">
        <is>
          <t>NYKAA.NS</t>
        </is>
      </c>
      <c r="B24" s="10" t="inlineStr">
        <is>
          <t>FSN E COMMERCE VENTURES</t>
        </is>
      </c>
      <c r="C24" s="10" t="inlineStr">
        <is>
          <t>India</t>
        </is>
      </c>
      <c r="D24" s="10" t="inlineStr">
        <is>
          <t>Consumer Cyclical</t>
        </is>
      </c>
      <c r="E24" s="10" t="inlineStr">
        <is>
          <t>Internet Retail</t>
        </is>
      </c>
      <c r="F24" s="11" t="inlineStr">
        <is>
          <t>FSN E-Commerce Ventures Limited, through its subsidiaries, engages in selling and distribution of beauty, personal care, and fashion products for women, men, children, and home in India and internationally.</t>
        </is>
      </c>
      <c r="G24" s="12" t="n">
        <v>1000.6</v>
      </c>
      <c r="H24" s="12" t="n">
        <v>72.2</v>
      </c>
      <c r="I24" s="12" t="n">
        <v>1413.5</v>
      </c>
      <c r="J24" s="12" t="n">
        <v>14070.2</v>
      </c>
      <c r="K24" s="12" t="n">
        <v>2136.7</v>
      </c>
      <c r="L24" s="12" t="n">
        <v>686888</v>
      </c>
      <c r="M24" s="12" t="n">
        <v>704830.5</v>
      </c>
      <c r="N24" s="13" t="n">
        <v>499.6</v>
      </c>
      <c r="O24" s="14" t="n">
        <v>26.7</v>
      </c>
      <c r="P24" s="15" t="n">
        <v>1981</v>
      </c>
      <c r="Q24" s="14" t="n">
        <v>7.2</v>
      </c>
      <c r="R24" s="14" t="n">
        <v>141.3</v>
      </c>
      <c r="S24" s="14" t="n">
        <v>4219</v>
      </c>
      <c r="T24" s="13" t="n">
        <v>704.4</v>
      </c>
      <c r="U24" s="13" t="n">
        <v>9762.200000000001</v>
      </c>
    </row>
    <row r="25" ht="32" customHeight="1">
      <c r="A25" s="4" t="inlineStr">
        <is>
          <t>GLBE</t>
        </is>
      </c>
      <c r="B25" s="4" t="inlineStr">
        <is>
          <t>Global-E Online Ltd.</t>
        </is>
      </c>
      <c r="C25" s="4" t="inlineStr">
        <is>
          <t>Israel</t>
        </is>
      </c>
      <c r="D25" s="4" t="inlineStr">
        <is>
          <t>Consumer Cyclical</t>
        </is>
      </c>
      <c r="E25" s="4" t="inlineStr">
        <is>
          <t>Internet Retail</t>
        </is>
      </c>
      <c r="F25" s="5" t="inlineStr">
        <is>
          <t>Global-E Online Ltd., together with its subsidiaries, provides direct-to-consumer cross-border e-commerce platform in Israel, the United Kingdom, the United States, and internationally. Its platform enables international shoppers to buy online and merchants to sell from and to worldwide.</t>
        </is>
      </c>
      <c r="G25" s="6" t="n">
        <v>888.5</v>
      </c>
      <c r="H25" s="6" t="n">
        <v>219.5</v>
      </c>
      <c r="I25" s="6" t="n">
        <v>68.3</v>
      </c>
      <c r="J25" s="6" t="n">
        <v>23.5</v>
      </c>
      <c r="K25" s="6" t="n">
        <v>622.8</v>
      </c>
      <c r="L25" s="6" t="n">
        <v>5488.9</v>
      </c>
      <c r="M25" s="6" t="n">
        <v>4903.1</v>
      </c>
      <c r="N25" s="7" t="n">
        <v>82.90000000000001</v>
      </c>
      <c r="O25" s="8" t="n">
        <v>28</v>
      </c>
      <c r="P25" s="9" t="n">
        <v/>
      </c>
      <c r="Q25" s="8" t="n">
        <v>24.7</v>
      </c>
      <c r="R25" s="8" t="n">
        <v>7.7</v>
      </c>
      <c r="S25" s="8" t="n">
        <v>49.1</v>
      </c>
      <c r="T25" s="7" t="n">
        <v>5.5</v>
      </c>
      <c r="U25" s="7" t="n">
        <v>22.3</v>
      </c>
    </row>
    <row r="26" ht="32" customHeight="1">
      <c r="A26" s="10" t="inlineStr">
        <is>
          <t>LQDT</t>
        </is>
      </c>
      <c r="B26" s="10" t="inlineStr">
        <is>
          <t>Liquidity Services, Inc.</t>
        </is>
      </c>
      <c r="C26" s="10" t="inlineStr">
        <is>
          <t>United States</t>
        </is>
      </c>
      <c r="D26" s="10" t="inlineStr">
        <is>
          <t>Consumer Cyclical</t>
        </is>
      </c>
      <c r="E26" s="10" t="inlineStr">
        <is>
          <t>Internet Retail</t>
        </is>
      </c>
      <c r="F26" s="11" t="inlineStr">
        <is>
          <t>Liquidity Services, Inc. engages in the provision of e-commerce marketplaces, self-directed auction listing tools, and value-added services in the United States and internationally.</t>
        </is>
      </c>
      <c r="G26" s="12" t="n">
        <v>475.6</v>
      </c>
      <c r="H26" s="12" t="n">
        <v>47.8</v>
      </c>
      <c r="I26" s="12" t="n">
        <v>29.8</v>
      </c>
      <c r="J26" s="12" t="n">
        <v>13.8</v>
      </c>
      <c r="K26" s="12" t="n">
        <v>181.4</v>
      </c>
      <c r="L26" s="12" t="n">
        <v>888.2</v>
      </c>
      <c r="M26" s="12" t="n">
        <v>720.6</v>
      </c>
      <c r="N26" s="13" t="n">
        <v>31.1</v>
      </c>
      <c r="O26" s="14" t="n">
        <v>-0.9</v>
      </c>
      <c r="P26" s="15" t="n">
        <v>818</v>
      </c>
      <c r="Q26" s="14" t="n">
        <v>10.1</v>
      </c>
      <c r="R26" s="14" t="n">
        <v>6.3</v>
      </c>
      <c r="S26" s="14" t="n">
        <v>45.4</v>
      </c>
      <c r="T26" s="13" t="n">
        <v>1.5</v>
      </c>
      <c r="U26" s="13" t="n">
        <v>15.1</v>
      </c>
    </row>
    <row r="27" ht="32" customHeight="1">
      <c r="A27" s="4" t="inlineStr">
        <is>
          <t>BUKA.JK</t>
        </is>
      </c>
      <c r="B27" s="4" t="inlineStr">
        <is>
          <t>Bukalapak.com Tbk.</t>
        </is>
      </c>
      <c r="C27" s="4" t="inlineStr">
        <is>
          <t>Indonesia</t>
        </is>
      </c>
      <c r="D27" s="4" t="inlineStr">
        <is>
          <t>Consumer Cyclical</t>
        </is>
      </c>
      <c r="E27" s="4" t="inlineStr">
        <is>
          <t>Internet Retail</t>
        </is>
      </c>
      <c r="F27" s="5" t="inlineStr">
        <is>
          <t>PT Bukalapak.com Tbk. operates as an all-commerce platform for various products in Indonesia. It operates through five segments: Gaming, Online to Offline, Retail, Investment, and Corporate.</t>
        </is>
      </c>
      <c r="G27" s="6" t="n">
        <v>349.3</v>
      </c>
      <c r="H27" s="6" t="n">
        <v>-5.3</v>
      </c>
      <c r="I27" s="6" t="n">
        <v>3142054.8</v>
      </c>
      <c r="J27" s="6" t="n">
        <v>112910.9</v>
      </c>
      <c r="K27" s="6" t="n">
        <v>21184628.4</v>
      </c>
      <c r="L27" s="6" t="n">
        <v>14440818.8</v>
      </c>
      <c r="M27" s="6" t="n">
        <v>-6618582.9</v>
      </c>
      <c r="N27" s="7" t="n">
        <v>6.7</v>
      </c>
      <c r="O27" s="8" t="n">
        <v>68.09999999999999</v>
      </c>
      <c r="P27" s="9" t="n">
        <v>424</v>
      </c>
      <c r="Q27" s="8" t="n">
        <v>-1.5</v>
      </c>
      <c r="R27" s="8" t="n">
        <v>899529</v>
      </c>
      <c r="S27" s="8" t="n">
        <v>148662.8</v>
      </c>
      <c r="T27" s="7" t="n">
        <v>-18948.1</v>
      </c>
      <c r="U27" s="7" t="n"/>
    </row>
    <row r="29">
      <c r="A29" s="16" t="inlineStr">
        <is>
          <t>Mediana</t>
        </is>
      </c>
      <c r="G29" s="17">
        <f>MEDIAN(G5:G27)</f>
        <v/>
      </c>
      <c r="H29" s="17">
        <f>MEDIAN(H5:H27)</f>
        <v/>
      </c>
      <c r="I29" s="17">
        <f>MEDIAN(I5:I27)</f>
        <v/>
      </c>
      <c r="L29" s="17">
        <f>MEDIAN(L5:L27)</f>
        <v/>
      </c>
      <c r="M29" s="17">
        <f>MEDIAN(M5:M27)</f>
        <v/>
      </c>
      <c r="N29" s="18">
        <f>MEDIAN(N5:N27)</f>
        <v/>
      </c>
      <c r="O29" s="19">
        <f>MEDIAN(O5:O27)</f>
        <v/>
      </c>
      <c r="Q29" s="19">
        <f>MEDIAN(Q5:Q27)</f>
        <v/>
      </c>
      <c r="R29" s="19">
        <f>MEDIAN(R5:R27)</f>
        <v/>
      </c>
      <c r="S29" s="19">
        <f>MEDIAN(S5:S27)</f>
        <v/>
      </c>
      <c r="T29" s="18">
        <f>MEDIAN(T5:T27)</f>
        <v/>
      </c>
      <c r="U29" s="18">
        <f>MEDIAN(U5:U27)</f>
        <v/>
      </c>
    </row>
    <row r="30">
      <c r="A30" s="16" t="inlineStr">
        <is>
          <t>Promedio</t>
        </is>
      </c>
      <c r="G30" s="17">
        <f>AVERAGE(G5:G27)</f>
        <v/>
      </c>
      <c r="H30" s="17">
        <f>AVERAGE(H5:H27)</f>
        <v/>
      </c>
      <c r="I30" s="17">
        <f>AVERAGE(I5:I27)</f>
        <v/>
      </c>
      <c r="L30" s="17">
        <f>AVERAGE(L5:L27)</f>
        <v/>
      </c>
      <c r="M30" s="17">
        <f>AVERAGE(M5:M27)</f>
        <v/>
      </c>
      <c r="N30" s="18">
        <f>AVERAGE(N5:N27)</f>
        <v/>
      </c>
      <c r="O30" s="19">
        <f>AVERAGE(O5:O27)</f>
        <v/>
      </c>
      <c r="Q30" s="19">
        <f>AVERAGE(Q5:Q27)</f>
        <v/>
      </c>
      <c r="R30" s="19">
        <f>AVERAGE(R5:R27)</f>
        <v/>
      </c>
      <c r="S30" s="19">
        <f>AVERAGE(S5:S27)</f>
        <v/>
      </c>
      <c r="T30" s="18">
        <f>AVERAGE(T5:T27)</f>
        <v/>
      </c>
      <c r="U30" s="18">
        <f>AVERAGE(U5:U27)</f>
        <v/>
      </c>
    </row>
  </sheetData>
  <mergeCells count="2">
    <mergeCell ref="A1:U1"/>
    <mergeCell ref="A2:U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3"/>
  <sheetViews>
    <sheetView showGridLines="0" workbookViewId="0">
      <pane ySplit="8" topLeftCell="A9" activePane="bottomLeft" state="frozen"/>
      <selection pane="bottomLeft" activeCell="A1" sqref="A1"/>
    </sheetView>
  </sheetViews>
  <sheetFormatPr baseColWidth="8" defaultRowHeight="15"/>
  <cols>
    <col width="9" customWidth="1" min="1" max="1"/>
    <col width="30" customWidth="1" min="2" max="2"/>
    <col width="14" customWidth="1" min="3" max="3"/>
    <col width="18" customWidth="1" min="4" max="4"/>
    <col width="24" customWidth="1" min="5" max="5"/>
    <col width="60" customWidth="1" min="6" max="6"/>
    <col width="15" customWidth="1" min="7" max="7"/>
    <col width="14" customWidth="1" min="8" max="8"/>
    <col width="14" customWidth="1" min="9" max="9"/>
    <col width="13" customWidth="1" min="10" max="10"/>
    <col width="13" customWidth="1" min="11" max="11"/>
    <col width="15" customWidth="1" min="12" max="12"/>
    <col width="14" customWidth="1" min="13" max="13"/>
    <col width="9" customWidth="1" min="14" max="14"/>
    <col width="13" customWidth="1" min="15" max="15"/>
    <col width="13" customWidth="1" min="16" max="16"/>
    <col width="13" customWidth="1" min="17" max="17"/>
    <col width="12" customWidth="1" min="18" max="18"/>
    <col width="13" customWidth="1" min="19" max="19"/>
    <col width="13" customWidth="1" min="20" max="20"/>
    <col width="13" customWidth="1" min="21" max="21"/>
  </cols>
  <sheetData>
    <row r="1" ht="20" customHeight="1">
      <c r="A1" s="20" t="inlineStr">
        <is>
          <t>PARÁMETROS DEL DEAL</t>
        </is>
      </c>
    </row>
    <row r="2">
      <c r="A2" s="21" t="inlineStr">
        <is>
          <t>Revenue Target ($mm)</t>
        </is>
      </c>
      <c r="B2" s="22" t="n">
        <v>28893</v>
      </c>
    </row>
    <row r="3">
      <c r="A3" s="21" t="inlineStr">
        <is>
          <t>Rango mínimo (%)</t>
        </is>
      </c>
      <c r="B3" s="23" t="n">
        <v>30</v>
      </c>
    </row>
    <row r="4">
      <c r="A4" s="21" t="inlineStr">
        <is>
          <t>Rango máximo (%)</t>
        </is>
      </c>
      <c r="B4" s="23" t="n">
        <v>300</v>
      </c>
    </row>
    <row r="5" ht="6" customHeight="1"/>
    <row r="6" ht="24" customHeight="1">
      <c r="A6" s="1" t="inlineStr">
        <is>
          <t>Comparable Companies — MELI | 16 comps filtradas</t>
        </is>
      </c>
    </row>
    <row r="7" ht="16" customHeight="1">
      <c r="A7" s="2" t="inlineStr">
        <is>
          <t>Fecha: 22/03/2026  |  Fuente: Yahoo Finance (TTM)  |  DealDesk</t>
        </is>
      </c>
    </row>
    <row r="8" ht="30" customHeight="1">
      <c r="A8" s="3" t="inlineStr">
        <is>
          <t>Ticker</t>
        </is>
      </c>
      <c r="B8" s="3" t="inlineStr">
        <is>
          <t>Empresa</t>
        </is>
      </c>
      <c r="C8" s="3" t="inlineStr">
        <is>
          <t>País</t>
        </is>
      </c>
      <c r="D8" s="3" t="inlineStr">
        <is>
          <t>Sector</t>
        </is>
      </c>
      <c r="E8" s="3" t="inlineStr">
        <is>
          <t>Industria</t>
        </is>
      </c>
      <c r="F8" s="3" t="inlineStr">
        <is>
          <t>Descripción</t>
        </is>
      </c>
      <c r="G8" s="3" t="inlineStr">
        <is>
          <t>Revenue ($mm)</t>
        </is>
      </c>
      <c r="H8" s="3" t="inlineStr">
        <is>
          <t>EBITDA ($mm)</t>
        </is>
      </c>
      <c r="I8" s="3" t="inlineStr">
        <is>
          <t>Net Inc ($mm)</t>
        </is>
      </c>
      <c r="J8" s="3" t="inlineStr">
        <is>
          <t>Deuda ($mm)</t>
        </is>
      </c>
      <c r="K8" s="3" t="inlineStr">
        <is>
          <t>Cash ($mm)</t>
        </is>
      </c>
      <c r="L8" s="3" t="inlineStr">
        <is>
          <t>Mkt Cap ($mm)</t>
        </is>
      </c>
      <c r="M8" s="3" t="inlineStr">
        <is>
          <t>EV ($mm)</t>
        </is>
      </c>
      <c r="N8" s="3" t="inlineStr">
        <is>
          <t>P/E</t>
        </is>
      </c>
      <c r="O8" s="3" t="inlineStr">
        <is>
          <t>Rev Growth %</t>
        </is>
      </c>
      <c r="P8" s="3" t="inlineStr">
        <is>
          <t>Empleados</t>
        </is>
      </c>
      <c r="Q8" s="3" t="inlineStr">
        <is>
          <t>EBITDA Mg%</t>
        </is>
      </c>
      <c r="R8" s="3" t="inlineStr">
        <is>
          <t>Net Mg%</t>
        </is>
      </c>
      <c r="S8" s="3" t="inlineStr">
        <is>
          <t>Gross Mg%</t>
        </is>
      </c>
      <c r="T8" s="3" t="inlineStr">
        <is>
          <t>EV/Revenue</t>
        </is>
      </c>
      <c r="U8" s="3" t="inlineStr">
        <is>
          <t>EV/EBITDA</t>
        </is>
      </c>
    </row>
    <row r="9" ht="32" customHeight="1">
      <c r="A9" s="4" t="inlineStr">
        <is>
          <t>AMZN</t>
        </is>
      </c>
      <c r="B9" s="4" t="inlineStr">
        <is>
          <t>Amazon.com, Inc.</t>
        </is>
      </c>
      <c r="C9" s="4" t="inlineStr">
        <is>
          <t>United States</t>
        </is>
      </c>
      <c r="D9" s="4" t="inlineStr">
        <is>
          <t>Consumer Cyclical</t>
        </is>
      </c>
      <c r="E9" s="4" t="inlineStr">
        <is>
          <t>Internet Retail</t>
        </is>
      </c>
      <c r="F9" s="5" t="inlineStr">
        <is>
          <t>Amazon.com, Inc. engages in the retail sale of consumer products, advertising, and subscriptions service through online and physical stores in North America and internationally. The company operates through three segments: North America, International, and Amazon Web Services (AWS).</t>
        </is>
      </c>
      <c r="G9" s="6" t="n">
        <v>716924</v>
      </c>
      <c r="H9" s="6" t="n">
        <v>165341</v>
      </c>
      <c r="I9" s="6" t="n">
        <v>77670</v>
      </c>
      <c r="J9" s="6" t="n">
        <v>178547</v>
      </c>
      <c r="K9" s="6" t="n">
        <v>123029</v>
      </c>
      <c r="L9" s="6" t="n">
        <v>2204630.5</v>
      </c>
      <c r="M9" s="6" t="n">
        <v>2260148.7</v>
      </c>
      <c r="N9" s="7" t="n">
        <v>28.6</v>
      </c>
      <c r="O9" s="8" t="n">
        <v>13.6</v>
      </c>
      <c r="P9" s="9" t="n">
        <v>1576000</v>
      </c>
      <c r="Q9" s="8" t="n">
        <v>23.1</v>
      </c>
      <c r="R9" s="8" t="n">
        <v>10.8</v>
      </c>
      <c r="S9" s="8" t="n">
        <v>50.3</v>
      </c>
      <c r="T9" s="7" t="n">
        <v>3.2</v>
      </c>
      <c r="U9" s="7" t="n">
        <v>13.7</v>
      </c>
    </row>
    <row r="10" ht="32" customHeight="1">
      <c r="A10" s="10" t="inlineStr">
        <is>
          <t>JD</t>
        </is>
      </c>
      <c r="B10" s="10" t="inlineStr">
        <is>
          <t>JD.com, Inc.</t>
        </is>
      </c>
      <c r="C10" s="10" t="inlineStr">
        <is>
          <t>China</t>
        </is>
      </c>
      <c r="D10" s="10" t="inlineStr">
        <is>
          <t>Consumer Cyclical</t>
        </is>
      </c>
      <c r="E10" s="10" t="inlineStr">
        <is>
          <t>Internet Retail</t>
        </is>
      </c>
      <c r="F10" s="11" t="inlineStr">
        <is>
          <t>JD.com, Inc. operates as a supply chain-based technology and service provider in the People's Republic of China and Europe. It operates through three segments: JD Retail, JD Logistics, and New Businesses.</t>
        </is>
      </c>
      <c r="G10" s="12" t="n">
        <v>189360.8</v>
      </c>
      <c r="H10" s="12" t="n">
        <v>6029.6</v>
      </c>
      <c r="I10" s="12" t="n">
        <v>19631</v>
      </c>
      <c r="J10" s="12" t="n">
        <v>107105</v>
      </c>
      <c r="K10" s="12" t="n">
        <v>213232</v>
      </c>
      <c r="L10" s="12" t="n">
        <v>39451.4</v>
      </c>
      <c r="M10" s="12" t="n">
        <v>39272</v>
      </c>
      <c r="N10" s="13" t="n">
        <v>14.6</v>
      </c>
      <c r="O10" s="14" t="n">
        <v>1.5</v>
      </c>
      <c r="P10" s="15" t="n">
        <v>900000</v>
      </c>
      <c r="Q10" s="14" t="n">
        <v>3.2</v>
      </c>
      <c r="R10" s="14" t="n">
        <v>10.4</v>
      </c>
      <c r="S10" s="14" t="n">
        <v>64.3</v>
      </c>
      <c r="T10" s="13" t="n">
        <v>0.2</v>
      </c>
      <c r="U10" s="13" t="n">
        <v>6.5</v>
      </c>
    </row>
    <row r="11" ht="32" customHeight="1">
      <c r="A11" s="4" t="inlineStr">
        <is>
          <t>PDD</t>
        </is>
      </c>
      <c r="B11" s="4" t="inlineStr">
        <is>
          <t>PDD Holdings Inc.</t>
        </is>
      </c>
      <c r="C11" s="4" t="inlineStr">
        <is>
          <t>Ireland</t>
        </is>
      </c>
      <c r="D11" s="4" t="inlineStr">
        <is>
          <t>Consumer Cyclical</t>
        </is>
      </c>
      <c r="E11" s="4" t="inlineStr">
        <is>
          <t>Internet Retail</t>
        </is>
      </c>
      <c r="F11" s="5" t="inlineStr">
        <is>
          <t>PDD Holdings Inc., a multinational commerce group that owns and operates a portfolio of businesses. It operates Pinduoduo platform which provides various product categories, including agricultural produce, apparel, shoes, bags, mother and childcare products, food and beverages, consumer…</t>
        </is>
      </c>
      <c r="G11" s="6" t="n">
        <v>60788.9</v>
      </c>
      <c r="H11" s="6" t="n">
        <v>14424.7</v>
      </c>
      <c r="I11" s="6" t="n">
        <v>102270.1</v>
      </c>
      <c r="J11" s="6" t="n">
        <v>10673.6</v>
      </c>
      <c r="K11" s="6" t="n">
        <v>423769.3</v>
      </c>
      <c r="L11" s="6" t="n">
        <v>136562.9</v>
      </c>
      <c r="M11" s="6" t="n">
        <v>125301.3</v>
      </c>
      <c r="N11" s="7" t="n">
        <v>9.6</v>
      </c>
      <c r="O11" s="8" t="n">
        <v>9</v>
      </c>
      <c r="P11" s="9" t="n">
        <v>23465</v>
      </c>
      <c r="Q11" s="8" t="n">
        <v>23.7</v>
      </c>
      <c r="R11" s="8" t="n">
        <v>168.2</v>
      </c>
      <c r="S11" s="8" t="n">
        <v>390</v>
      </c>
      <c r="T11" s="7" t="n">
        <v>2.1</v>
      </c>
      <c r="U11" s="7" t="n">
        <v>8.699999999999999</v>
      </c>
    </row>
    <row r="12" ht="32" customHeight="1">
      <c r="A12" s="10" t="inlineStr">
        <is>
          <t>MPNGY</t>
        </is>
      </c>
      <c r="B12" s="10" t="inlineStr">
        <is>
          <t>MEITUAN</t>
        </is>
      </c>
      <c r="C12" s="10" t="inlineStr">
        <is>
          <t>China</t>
        </is>
      </c>
      <c r="D12" s="10" t="inlineStr">
        <is>
          <t>Consumer Cyclical</t>
        </is>
      </c>
      <c r="E12" s="10" t="inlineStr">
        <is>
          <t>Internet Retail</t>
        </is>
      </c>
      <c r="F12" s="11" t="inlineStr">
        <is>
          <t>Meituan operates as a technology driven retail company in the People's Republic of China, Hong Kong, Macao, Taiwan, and internationally. It operates through Core Local Commerce and New Initiatives segments.</t>
        </is>
      </c>
      <c r="G12" s="12" t="n">
        <v>52630.7</v>
      </c>
      <c r="H12" s="12" t="n">
        <v>516.4</v>
      </c>
      <c r="I12" s="12" t="n">
        <v>-1988.8</v>
      </c>
      <c r="J12" s="12" t="n">
        <v>51265.9</v>
      </c>
      <c r="K12" s="12" t="n">
        <v>141287.8</v>
      </c>
      <c r="L12" s="12" t="n">
        <v>61848.3</v>
      </c>
      <c r="M12" s="12" t="n">
        <v>29329.8</v>
      </c>
      <c r="N12" s="13" t="n">
        <v>14.5</v>
      </c>
      <c r="O12" s="14" t="n">
        <v>2</v>
      </c>
      <c r="P12" s="15" t="n">
        <v>108900</v>
      </c>
      <c r="Q12" s="14" t="n">
        <v>1</v>
      </c>
      <c r="R12" s="14" t="n">
        <v>-3.8</v>
      </c>
      <c r="S12" s="14" t="n">
        <v>230.8</v>
      </c>
      <c r="T12" s="13" t="n">
        <v>0.6</v>
      </c>
      <c r="U12" s="13" t="n">
        <v>56.8</v>
      </c>
    </row>
    <row r="13" ht="32" customHeight="1">
      <c r="A13" s="4" t="inlineStr">
        <is>
          <t>CPNG</t>
        </is>
      </c>
      <c r="B13" s="4" t="inlineStr">
        <is>
          <t>Coupang, Inc.</t>
        </is>
      </c>
      <c r="C13" s="4" t="inlineStr">
        <is>
          <t>United States</t>
        </is>
      </c>
      <c r="D13" s="4" t="inlineStr">
        <is>
          <t>Consumer Cyclical</t>
        </is>
      </c>
      <c r="E13" s="4" t="inlineStr">
        <is>
          <t>Internet Retail</t>
        </is>
      </c>
      <c r="F13" s="5" t="inlineStr">
        <is>
          <t>Coupang, Inc., together with its subsidiaries, owns and operates retail business through its mobile applications and internet websites in South Korea and internationally. It operates through Product Commerce and Developing Offerings segments.</t>
        </is>
      </c>
      <c r="G13" s="6" t="n">
        <v>34534</v>
      </c>
      <c r="H13" s="6" t="n">
        <v>1200</v>
      </c>
      <c r="I13" s="6" t="n">
        <v>208</v>
      </c>
      <c r="J13" s="6" t="n">
        <v>4635</v>
      </c>
      <c r="K13" s="6" t="n">
        <v>6318</v>
      </c>
      <c r="L13" s="6" t="n">
        <v>34424.8</v>
      </c>
      <c r="M13" s="6" t="n">
        <v>32741.8</v>
      </c>
      <c r="N13" s="7" t="n">
        <v>171.2</v>
      </c>
      <c r="O13" s="8" t="n">
        <v>10.9</v>
      </c>
      <c r="P13" s="9" t="n">
        <v>108000</v>
      </c>
      <c r="Q13" s="8" t="n">
        <v>3.5</v>
      </c>
      <c r="R13" s="8" t="n">
        <v>0.6</v>
      </c>
      <c r="S13" s="8" t="n">
        <v>29.4</v>
      </c>
      <c r="T13" s="7" t="n">
        <v>0.9</v>
      </c>
      <c r="U13" s="7" t="n">
        <v>27.3</v>
      </c>
    </row>
    <row r="14" ht="32" customHeight="1">
      <c r="A14" s="10" t="inlineStr">
        <is>
          <t>SE</t>
        </is>
      </c>
      <c r="B14" s="10" t="inlineStr">
        <is>
          <t>Sea Limited</t>
        </is>
      </c>
      <c r="C14" s="10" t="inlineStr">
        <is>
          <t>Singapore</t>
        </is>
      </c>
      <c r="D14" s="10" t="inlineStr">
        <is>
          <t>Consumer Cyclical</t>
        </is>
      </c>
      <c r="E14" s="10" t="inlineStr">
        <is>
          <t>Internet Retail</t>
        </is>
      </c>
      <c r="F14" s="11" t="inlineStr">
        <is>
          <t>Sea Limited, through its subsidiaries, operates as a consumer internet company in Southeast Asia, Latin America, the rest of Asia, and internationally. The company operates through E-commerce, Digital financial services, and Digital entertainment segments.</t>
        </is>
      </c>
      <c r="G14" s="12" t="n">
        <v>21037</v>
      </c>
      <c r="H14" s="12" t="n">
        <v>1953.9</v>
      </c>
      <c r="I14" s="12" t="n">
        <v>1578.1</v>
      </c>
      <c r="J14" s="12" t="n">
        <v>3330.4</v>
      </c>
      <c r="K14" s="12" t="n">
        <v>10572.2</v>
      </c>
      <c r="L14" s="12" t="n">
        <v>46680.8</v>
      </c>
      <c r="M14" s="12" t="n">
        <v>40366.7</v>
      </c>
      <c r="N14" s="13" t="n">
        <v>31.3</v>
      </c>
      <c r="O14" s="14" t="n">
        <v>38.4</v>
      </c>
      <c r="P14" s="15" t="n">
        <v/>
      </c>
      <c r="Q14" s="14" t="n">
        <v>9.300000000000001</v>
      </c>
      <c r="R14" s="14" t="n">
        <v>7.5</v>
      </c>
      <c r="S14" s="14" t="n">
        <v>48.7</v>
      </c>
      <c r="T14" s="13" t="n">
        <v>1.9</v>
      </c>
      <c r="U14" s="13" t="n">
        <v>20.7</v>
      </c>
    </row>
    <row r="15" ht="32" customHeight="1">
      <c r="A15" s="4" t="inlineStr">
        <is>
          <t>DLVHF</t>
        </is>
      </c>
      <c r="B15" s="4" t="inlineStr">
        <is>
          <t>Delivery Hero AG NA</t>
        </is>
      </c>
      <c r="C15" s="4" t="inlineStr">
        <is>
          <t>Germany</t>
        </is>
      </c>
      <c r="D15" s="4" t="inlineStr">
        <is>
          <t>Consumer Cyclical</t>
        </is>
      </c>
      <c r="E15" s="4" t="inlineStr">
        <is>
          <t>Internet Retail</t>
        </is>
      </c>
      <c r="F15" s="5" t="inlineStr">
        <is>
          <t>Delivery Hero SE provides online food ordering, quick commerce, and delivery services. The company also offers advertising services. It operates in approximately 70 countries across Asia, the Middle East, Africa, Europe, and Latin America.</t>
        </is>
      </c>
      <c r="G15" s="6" t="n">
        <v>15473.8</v>
      </c>
      <c r="H15" s="6" t="n">
        <v>429.6</v>
      </c>
      <c r="I15" s="6" t="n">
        <v>-560.5</v>
      </c>
      <c r="J15" s="6" t="n">
        <v>4635.7</v>
      </c>
      <c r="K15" s="6" t="n">
        <v>2808.1</v>
      </c>
      <c r="L15" s="6" t="n">
        <v>5852.3</v>
      </c>
      <c r="M15" s="6" t="n">
        <v>7138.3</v>
      </c>
      <c r="N15" s="7" t="n">
        <v/>
      </c>
      <c r="O15" s="8" t="n">
        <v>19.2</v>
      </c>
      <c r="P15" s="9" t="n">
        <v>43986</v>
      </c>
      <c r="Q15" s="8" t="n">
        <v>2.8</v>
      </c>
      <c r="R15" s="8" t="n">
        <v>-3.6</v>
      </c>
      <c r="S15" s="8" t="n">
        <v>22.1</v>
      </c>
      <c r="T15" s="7" t="n">
        <v>0.5</v>
      </c>
      <c r="U15" s="7" t="n">
        <v>16.6</v>
      </c>
    </row>
    <row r="16" ht="32" customHeight="1">
      <c r="A16" s="10" t="inlineStr">
        <is>
          <t>ZLNDY</t>
        </is>
      </c>
      <c r="B16" s="10" t="inlineStr">
        <is>
          <t>ZALANDO SE</t>
        </is>
      </c>
      <c r="C16" s="10" t="inlineStr">
        <is>
          <t>Germany</t>
        </is>
      </c>
      <c r="D16" s="10" t="inlineStr">
        <is>
          <t>Consumer Cyclical</t>
        </is>
      </c>
      <c r="E16" s="10" t="inlineStr">
        <is>
          <t>Internet Retail</t>
        </is>
      </c>
      <c r="F16" s="11" t="inlineStr">
        <is>
          <t>Zalando SE operates an online platform for fashion and lifestyle products in Germany and internationally. The company operates through Business-to-Business and Business-to-Consumer segments.</t>
        </is>
      </c>
      <c r="G16" s="12" t="n">
        <v>14253.4</v>
      </c>
      <c r="H16" s="12" t="n">
        <v>965.4</v>
      </c>
      <c r="I16" s="12" t="n">
        <v>212.7</v>
      </c>
      <c r="J16" s="12" t="n">
        <v>1441.6</v>
      </c>
      <c r="K16" s="12" t="n">
        <v>1877.4</v>
      </c>
      <c r="L16" s="12" t="n">
        <v>6426</v>
      </c>
      <c r="M16" s="12" t="n">
        <v>2803.6</v>
      </c>
      <c r="N16" s="13" t="n">
        <v>26.5</v>
      </c>
      <c r="O16" s="14" t="n">
        <v>23.4</v>
      </c>
      <c r="P16" s="15" t="n">
        <v>16582</v>
      </c>
      <c r="Q16" s="14" t="n">
        <v>6.8</v>
      </c>
      <c r="R16" s="14" t="n">
        <v>1.5</v>
      </c>
      <c r="S16" s="14" t="n">
        <v>34.5</v>
      </c>
      <c r="T16" s="13" t="n">
        <v>0.2</v>
      </c>
      <c r="U16" s="13" t="n">
        <v>2.9</v>
      </c>
    </row>
    <row r="17" ht="32" customHeight="1">
      <c r="A17" s="4" t="inlineStr">
        <is>
          <t>DASH</t>
        </is>
      </c>
      <c r="B17" s="4" t="inlineStr">
        <is>
          <t>DoorDash, Inc.</t>
        </is>
      </c>
      <c r="C17" s="4" t="inlineStr">
        <is>
          <t>United States</t>
        </is>
      </c>
      <c r="D17" s="4" t="inlineStr">
        <is>
          <t>Consumer Cyclical</t>
        </is>
      </c>
      <c r="E17" s="4" t="inlineStr">
        <is>
          <t>Internet Retail</t>
        </is>
      </c>
      <c r="F17" s="5" t="inlineStr">
        <is>
          <t>DoorDash, Inc., together with its subsidiaries, operates a commerce platform that connects merchants, consumers, and dashers in the United States and internationally.</t>
        </is>
      </c>
      <c r="G17" s="6" t="n">
        <v>13717</v>
      </c>
      <c r="H17" s="6" t="n">
        <v>1472</v>
      </c>
      <c r="I17" s="6" t="n">
        <v>935</v>
      </c>
      <c r="J17" s="6" t="n">
        <v>3290</v>
      </c>
      <c r="K17" s="6" t="n">
        <v>5506</v>
      </c>
      <c r="L17" s="6" t="n">
        <v>68048.5</v>
      </c>
      <c r="M17" s="6" t="n">
        <v>65845.5</v>
      </c>
      <c r="N17" s="7" t="n">
        <v>73.5</v>
      </c>
      <c r="O17" s="8" t="n">
        <v>37.7</v>
      </c>
      <c r="P17" s="9" t="n">
        <v>31400</v>
      </c>
      <c r="Q17" s="8" t="n">
        <v>10.7</v>
      </c>
      <c r="R17" s="8" t="n">
        <v>6.8</v>
      </c>
      <c r="S17" s="8" t="n">
        <v>51.8</v>
      </c>
      <c r="T17" s="7" t="n">
        <v>4.8</v>
      </c>
      <c r="U17" s="7" t="n">
        <v>44.7</v>
      </c>
    </row>
    <row r="18" ht="32" customHeight="1">
      <c r="A18" s="10" t="inlineStr">
        <is>
          <t>CHWY</t>
        </is>
      </c>
      <c r="B18" s="10" t="inlineStr">
        <is>
          <t>Chewy, Inc.</t>
        </is>
      </c>
      <c r="C18" s="10" t="inlineStr">
        <is>
          <t>United States</t>
        </is>
      </c>
      <c r="D18" s="10" t="inlineStr">
        <is>
          <t>Consumer Cyclical</t>
        </is>
      </c>
      <c r="E18" s="10" t="inlineStr">
        <is>
          <t>Internet Retail</t>
        </is>
      </c>
      <c r="F18" s="11" t="inlineStr">
        <is>
          <t>Chewy, Inc., together with its subsidiaries, engages in the e-commerce business in the United States. It offers pet food and treats, pet supplies and pet medications, and other pet-health products, as well as pet services.</t>
        </is>
      </c>
      <c r="G18" s="12" t="n">
        <v>12584.2</v>
      </c>
      <c r="H18" s="12" t="n">
        <v>347.9</v>
      </c>
      <c r="I18" s="12" t="n">
        <v>206.4</v>
      </c>
      <c r="J18" s="12" t="n">
        <v>558.9</v>
      </c>
      <c r="K18" s="12" t="n">
        <v>701.5</v>
      </c>
      <c r="L18" s="12" t="n">
        <v>9698.5</v>
      </c>
      <c r="M18" s="12" t="n">
        <v>9555.9</v>
      </c>
      <c r="N18" s="13" t="n">
        <v>47.7</v>
      </c>
      <c r="O18" s="14" t="n">
        <v>8.300000000000001</v>
      </c>
      <c r="P18" s="15" t="n">
        <v>18000</v>
      </c>
      <c r="Q18" s="14" t="n">
        <v>2.8</v>
      </c>
      <c r="R18" s="14" t="n">
        <v>1.6</v>
      </c>
      <c r="S18" s="14" t="n">
        <v>29.6</v>
      </c>
      <c r="T18" s="13" t="n">
        <v>0.8</v>
      </c>
      <c r="U18" s="13" t="n">
        <v>27.5</v>
      </c>
    </row>
    <row r="19" ht="32" customHeight="1">
      <c r="A19" s="4" t="inlineStr">
        <is>
          <t>EBAY</t>
        </is>
      </c>
      <c r="B19" s="4" t="inlineStr">
        <is>
          <t>eBay Inc.</t>
        </is>
      </c>
      <c r="C19" s="4" t="inlineStr">
        <is>
          <t>United States</t>
        </is>
      </c>
      <c r="D19" s="4" t="inlineStr">
        <is>
          <t>Consumer Cyclical</t>
        </is>
      </c>
      <c r="E19" s="4" t="inlineStr">
        <is>
          <t>Internet Retail</t>
        </is>
      </c>
      <c r="F19" s="5" t="inlineStr">
        <is>
          <t>eBay Inc., together with its subsidiaries, operates marketplace platforms that connect buyers and sellers in the United States, the United Kingdom, China, Germany, and internationally.</t>
        </is>
      </c>
      <c r="G19" s="6" t="n">
        <v>11100</v>
      </c>
      <c r="H19" s="6" t="n">
        <v>2960</v>
      </c>
      <c r="I19" s="6" t="n">
        <v>1996</v>
      </c>
      <c r="J19" s="6" t="n">
        <v>7182</v>
      </c>
      <c r="K19" s="6" t="n">
        <v>2919</v>
      </c>
      <c r="L19" s="6" t="n">
        <v>40219</v>
      </c>
      <c r="M19" s="6" t="n">
        <v>44126</v>
      </c>
      <c r="N19" s="7" t="n">
        <v>20.9</v>
      </c>
      <c r="O19" s="8" t="n">
        <v>15</v>
      </c>
      <c r="P19" s="9" t="n">
        <v>12300</v>
      </c>
      <c r="Q19" s="8" t="n">
        <v>26.7</v>
      </c>
      <c r="R19" s="8" t="n">
        <v>18</v>
      </c>
      <c r="S19" s="8" t="n">
        <v>71.5</v>
      </c>
      <c r="T19" s="7" t="n">
        <v>4</v>
      </c>
      <c r="U19" s="7" t="n">
        <v>14.9</v>
      </c>
    </row>
    <row r="20" ht="32" customHeight="1">
      <c r="A20" s="10" t="inlineStr">
        <is>
          <t>CART</t>
        </is>
      </c>
      <c r="B20" s="10" t="inlineStr">
        <is>
          <t>Maplebear Inc.</t>
        </is>
      </c>
      <c r="C20" s="10" t="inlineStr">
        <is>
          <t>United States</t>
        </is>
      </c>
      <c r="D20" s="10" t="inlineStr">
        <is>
          <t>Consumer Cyclical</t>
        </is>
      </c>
      <c r="E20" s="10" t="inlineStr">
        <is>
          <t>Internet Retail</t>
        </is>
      </c>
      <c r="F20" s="11" t="inlineStr">
        <is>
          <t>Maplebear Inc., doing business as Instacart, operates as a technology and enablement partner for the grocery industry in the United States and internationally.</t>
        </is>
      </c>
      <c r="G20" s="12" t="n">
        <v>3742</v>
      </c>
      <c r="H20" s="12" t="n">
        <v>598</v>
      </c>
      <c r="I20" s="12" t="n">
        <v>438</v>
      </c>
      <c r="J20" s="12" t="n">
        <v>36</v>
      </c>
      <c r="K20" s="12" t="n">
        <v>687</v>
      </c>
      <c r="L20" s="12" t="n">
        <v>9695.299999999999</v>
      </c>
      <c r="M20" s="12" t="n">
        <v>8430.9</v>
      </c>
      <c r="N20" s="13" t="n">
        <v>23.1</v>
      </c>
      <c r="O20" s="14" t="n">
        <v>12.3</v>
      </c>
      <c r="P20" s="15" t="n">
        <v>3600</v>
      </c>
      <c r="Q20" s="14" t="n">
        <v>16</v>
      </c>
      <c r="R20" s="14" t="n">
        <v>11.7</v>
      </c>
      <c r="S20" s="14" t="n">
        <v>73.7</v>
      </c>
      <c r="T20" s="13" t="n">
        <v>2.3</v>
      </c>
      <c r="U20" s="13" t="n">
        <v>14.1</v>
      </c>
    </row>
    <row r="21" ht="32" customHeight="1">
      <c r="A21" s="4" t="inlineStr">
        <is>
          <t>ALE.WA</t>
        </is>
      </c>
      <c r="B21" s="4" t="inlineStr">
        <is>
          <t>ALLEGRO</t>
        </is>
      </c>
      <c r="C21" s="4" t="inlineStr">
        <is>
          <t>Luxembourg</t>
        </is>
      </c>
      <c r="D21" s="4" t="inlineStr">
        <is>
          <t>Consumer Cyclical</t>
        </is>
      </c>
      <c r="E21" s="4" t="inlineStr">
        <is>
          <t>Internet Retail</t>
        </is>
      </c>
      <c r="F21" s="5" t="inlineStr">
        <is>
          <t>Allegro.eu S.A. operates a commerce platform for consumers in Poland, Czech Republic, Slovakia, Hungary, and internationally. It operates through Allegro, Ceneo, Allegro International, and Other segments.</t>
        </is>
      </c>
      <c r="G21" s="6" t="n">
        <v>3092.1</v>
      </c>
      <c r="H21" s="6" t="n">
        <v>929.3</v>
      </c>
      <c r="I21" s="6" t="n">
        <v>1694.1</v>
      </c>
      <c r="J21" s="6" t="n">
        <v>5670.2</v>
      </c>
      <c r="K21" s="6" t="n">
        <v>2840.7</v>
      </c>
      <c r="L21" s="6" t="n">
        <v>26541.2</v>
      </c>
      <c r="M21" s="6" t="n">
        <v>29370.7</v>
      </c>
      <c r="N21" s="7" t="n">
        <v>16.2</v>
      </c>
      <c r="O21" s="8" t="n">
        <v/>
      </c>
      <c r="P21" s="9" t="n">
        <v>5754</v>
      </c>
      <c r="Q21" s="8" t="n">
        <v>30.1</v>
      </c>
      <c r="R21" s="8" t="n">
        <v>54.8</v>
      </c>
      <c r="S21" s="8" t="n">
        <v>125.5</v>
      </c>
      <c r="T21" s="7" t="n">
        <v>9.5</v>
      </c>
      <c r="U21" s="7" t="n">
        <v>31.6</v>
      </c>
    </row>
    <row r="22" ht="32" customHeight="1">
      <c r="A22" s="10" t="inlineStr">
        <is>
          <t>ETSY</t>
        </is>
      </c>
      <c r="B22" s="10" t="inlineStr">
        <is>
          <t>Etsy, Inc.</t>
        </is>
      </c>
      <c r="C22" s="10" t="inlineStr">
        <is>
          <t>United States</t>
        </is>
      </c>
      <c r="D22" s="10" t="inlineStr">
        <is>
          <t>Consumer Cyclical</t>
        </is>
      </c>
      <c r="E22" s="10" t="inlineStr">
        <is>
          <t>Internet Retail</t>
        </is>
      </c>
      <c r="F22" s="11" t="inlineStr">
        <is>
          <t>Etsy, Inc., together with its subsidiaries, operates two-sided online marketplaces that connect buyers and sellers in the United States, the United Kingdom, and internationally. It operates through Etsy and Depop segments.</t>
        </is>
      </c>
      <c r="G22" s="12" t="n">
        <v>2883.5</v>
      </c>
      <c r="H22" s="12" t="n">
        <v>476.3</v>
      </c>
      <c r="I22" s="12" t="n">
        <v>163</v>
      </c>
      <c r="J22" s="12" t="n">
        <v>3115.1</v>
      </c>
      <c r="K22" s="12" t="n">
        <v>1619.9</v>
      </c>
      <c r="L22" s="12" t="n">
        <v>5215.6</v>
      </c>
      <c r="M22" s="12" t="n">
        <v>6580.9</v>
      </c>
      <c r="N22" s="13" t="n">
        <v>38</v>
      </c>
      <c r="O22" s="14" t="n">
        <v>3.5</v>
      </c>
      <c r="P22" s="15" t="n">
        <v>2375</v>
      </c>
      <c r="Q22" s="14" t="n">
        <v>16.5</v>
      </c>
      <c r="R22" s="14" t="n">
        <v>5.7</v>
      </c>
      <c r="S22" s="14" t="n">
        <v>71.59999999999999</v>
      </c>
      <c r="T22" s="13" t="n">
        <v>2.3</v>
      </c>
      <c r="U22" s="13" t="n">
        <v>13.8</v>
      </c>
    </row>
    <row r="23" ht="32" customHeight="1">
      <c r="A23" s="4" t="inlineStr">
        <is>
          <t>RVLV</t>
        </is>
      </c>
      <c r="B23" s="4" t="inlineStr">
        <is>
          <t>Revolve Group, Inc.</t>
        </is>
      </c>
      <c r="C23" s="4" t="inlineStr">
        <is>
          <t>United States</t>
        </is>
      </c>
      <c r="D23" s="4" t="inlineStr">
        <is>
          <t>Consumer Cyclical</t>
        </is>
      </c>
      <c r="E23" s="4" t="inlineStr">
        <is>
          <t>Internet Retail</t>
        </is>
      </c>
      <c r="F23" s="5" t="inlineStr">
        <is>
          <t>Revolve Group, Inc. operates as a fashion retailer for millennial and generation z consumers in the United States and internationally. The company operates in two segments, REVOLVE and FWRD.</t>
        </is>
      </c>
      <c r="G23" s="6" t="n">
        <v>1225.7</v>
      </c>
      <c r="H23" s="6" t="n">
        <v>80.7</v>
      </c>
      <c r="I23" s="6" t="n">
        <v>61.7</v>
      </c>
      <c r="J23" s="6" t="n">
        <v>32.5</v>
      </c>
      <c r="K23" s="6" t="n">
        <v>292.3</v>
      </c>
      <c r="L23" s="6" t="n">
        <v>1579.3</v>
      </c>
      <c r="M23" s="6" t="n">
        <v>1319.5</v>
      </c>
      <c r="N23" s="7" t="n">
        <v>25.7</v>
      </c>
      <c r="O23" s="8" t="n">
        <v>10.4</v>
      </c>
      <c r="P23" s="9" t="n">
        <v>1664</v>
      </c>
      <c r="Q23" s="8" t="n">
        <v>6.6</v>
      </c>
      <c r="R23" s="8" t="n">
        <v>5</v>
      </c>
      <c r="S23" s="8" t="n">
        <v>53.5</v>
      </c>
      <c r="T23" s="7" t="n">
        <v>1.1</v>
      </c>
      <c r="U23" s="7" t="n">
        <v>16.4</v>
      </c>
    </row>
    <row r="24" ht="32" customHeight="1">
      <c r="A24" s="10" t="inlineStr">
        <is>
          <t>GLBE</t>
        </is>
      </c>
      <c r="B24" s="10" t="inlineStr">
        <is>
          <t>Global-E Online Ltd.</t>
        </is>
      </c>
      <c r="C24" s="10" t="inlineStr">
        <is>
          <t>Israel</t>
        </is>
      </c>
      <c r="D24" s="10" t="inlineStr">
        <is>
          <t>Consumer Cyclical</t>
        </is>
      </c>
      <c r="E24" s="10" t="inlineStr">
        <is>
          <t>Internet Retail</t>
        </is>
      </c>
      <c r="F24" s="11" t="inlineStr">
        <is>
          <t>Global-E Online Ltd., together with its subsidiaries, provides direct-to-consumer cross-border e-commerce platform in Israel, the United Kingdom, the United States, and internationally. Its platform enables international shoppers to buy online and merchants to sell from and to worldwide.</t>
        </is>
      </c>
      <c r="G24" s="12" t="n">
        <v>888.5</v>
      </c>
      <c r="H24" s="12" t="n">
        <v>219.5</v>
      </c>
      <c r="I24" s="12" t="n">
        <v>68.3</v>
      </c>
      <c r="J24" s="12" t="n">
        <v>23.5</v>
      </c>
      <c r="K24" s="12" t="n">
        <v>622.8</v>
      </c>
      <c r="L24" s="12" t="n">
        <v>5488.9</v>
      </c>
      <c r="M24" s="12" t="n">
        <v>4903.1</v>
      </c>
      <c r="N24" s="13" t="n">
        <v>82.90000000000001</v>
      </c>
      <c r="O24" s="14" t="n">
        <v>28</v>
      </c>
      <c r="P24" s="15" t="n">
        <v/>
      </c>
      <c r="Q24" s="14" t="n">
        <v>24.7</v>
      </c>
      <c r="R24" s="14" t="n">
        <v>7.7</v>
      </c>
      <c r="S24" s="14" t="n">
        <v>49.1</v>
      </c>
      <c r="T24" s="13" t="n">
        <v>5.5</v>
      </c>
      <c r="U24" s="13" t="n">
        <v>22.3</v>
      </c>
    </row>
    <row r="26">
      <c r="A26" s="16" t="inlineStr">
        <is>
          <t>Mediana</t>
        </is>
      </c>
      <c r="G26" s="17">
        <f>MEDIAN(G9:G24)</f>
        <v/>
      </c>
      <c r="H26" s="17">
        <f>MEDIAN(H9:H24)</f>
        <v/>
      </c>
      <c r="I26" s="17">
        <f>MEDIAN(I9:I24)</f>
        <v/>
      </c>
      <c r="L26" s="17">
        <f>MEDIAN(L9:L24)</f>
        <v/>
      </c>
      <c r="M26" s="17">
        <f>MEDIAN(M9:M24)</f>
        <v/>
      </c>
      <c r="N26" s="18">
        <f>MEDIAN(N9:N24)</f>
        <v/>
      </c>
      <c r="O26" s="19">
        <f>MEDIAN(O9:O24)</f>
        <v/>
      </c>
      <c r="Q26" s="19">
        <f>MEDIAN(Q9:Q24)</f>
        <v/>
      </c>
      <c r="R26" s="19">
        <f>MEDIAN(R9:R24)</f>
        <v/>
      </c>
      <c r="S26" s="19">
        <f>MEDIAN(S9:S24)</f>
        <v/>
      </c>
      <c r="T26" s="18">
        <f>MEDIAN(T9:T24)</f>
        <v/>
      </c>
      <c r="U26" s="18">
        <f>MEDIAN(U9:U24)</f>
        <v/>
      </c>
    </row>
    <row r="27">
      <c r="A27" s="16" t="inlineStr">
        <is>
          <t>Promedio</t>
        </is>
      </c>
      <c r="G27" s="17">
        <f>AVERAGE(G9:G24)</f>
        <v/>
      </c>
      <c r="H27" s="17">
        <f>AVERAGE(H9:H24)</f>
        <v/>
      </c>
      <c r="I27" s="17">
        <f>AVERAGE(I9:I24)</f>
        <v/>
      </c>
      <c r="L27" s="17">
        <f>AVERAGE(L9:L24)</f>
        <v/>
      </c>
      <c r="M27" s="17">
        <f>AVERAGE(M9:M24)</f>
        <v/>
      </c>
      <c r="N27" s="18">
        <f>AVERAGE(N9:N24)</f>
        <v/>
      </c>
      <c r="O27" s="19">
        <f>AVERAGE(O9:O24)</f>
        <v/>
      </c>
      <c r="Q27" s="19">
        <f>AVERAGE(Q9:Q24)</f>
        <v/>
      </c>
      <c r="R27" s="19">
        <f>AVERAGE(R9:R24)</f>
        <v/>
      </c>
      <c r="S27" s="19">
        <f>AVERAGE(S9:S24)</f>
        <v/>
      </c>
      <c r="T27" s="18">
        <f>AVERAGE(T9:T24)</f>
        <v/>
      </c>
      <c r="U27" s="18">
        <f>AVERAGE(U9:U24)</f>
        <v/>
      </c>
    </row>
    <row r="30" ht="20" customHeight="1">
      <c r="A30" s="24" t="inlineStr">
        <is>
          <t>── IMPLIED VALUATION ──</t>
        </is>
      </c>
    </row>
    <row r="31">
      <c r="A31" s="21" t="inlineStr">
        <is>
          <t>Revenue Target ($mm)</t>
        </is>
      </c>
      <c r="B31" s="25">
        <f>$B$2</f>
        <v/>
      </c>
    </row>
    <row r="32">
      <c r="A32" s="21" t="inlineStr">
        <is>
          <t>EV Implied — EV/Revenue (mediana)</t>
        </is>
      </c>
      <c r="B32" s="25">
        <f>$B$2*T26</f>
        <v/>
      </c>
    </row>
    <row r="33">
      <c r="A33" s="21" t="inlineStr">
        <is>
          <t>EV Implied — EV/EBITDA (mediana)</t>
        </is>
      </c>
      <c r="B33" s="25">
        <f>$B$2*(Q26/100)*U26</f>
        <v/>
      </c>
    </row>
  </sheetData>
  <mergeCells count="2">
    <mergeCell ref="A7:U7"/>
    <mergeCell ref="A6:U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2026-03-23T00:56:41Z</dcterms:created>
  <dcterms:modified xmlns:dcterms="http://purl.org/dc/terms/" xmlns:xsi="http://www.w3.org/2001/XMLSchema-instance" xsi:type="dcterms:W3CDTF">2026-03-23T00:56:41Z</dcterms:modified>
</cp:coreProperties>
</file>